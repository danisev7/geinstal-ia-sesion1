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demo_excel/"/>
    </mc:Choice>
  </mc:AlternateContent>
  <xr:revisionPtr revIDLastSave="0" documentId="8_{F13D7F6A-A873-AD4E-92FF-50110A72BC30}" xr6:coauthVersionLast="47" xr6:coauthVersionMax="47" xr10:uidLastSave="{00000000-0000-0000-0000-000000000000}"/>
  <bookViews>
    <workbookView xWindow="0" yWindow="600" windowWidth="34400" windowHeight="28200" activeTab="2" xr2:uid="{9D557204-AFDC-B647-89DB-30496BE54903}"/>
  </bookViews>
  <sheets>
    <sheet name="Supuestos" sheetId="2" r:id="rId1"/>
    <sheet name="Modelo" sheetId="3" r:id="rId2"/>
    <sheet name="Foreca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4" l="1"/>
  <c r="D48" i="4"/>
  <c r="E48" i="4"/>
  <c r="F48" i="4"/>
  <c r="G48" i="4"/>
  <c r="H48" i="4"/>
  <c r="I48" i="4"/>
  <c r="J48" i="4"/>
  <c r="C49" i="4"/>
  <c r="D49" i="4"/>
  <c r="E49" i="4"/>
  <c r="F49" i="4"/>
  <c r="G49" i="4"/>
  <c r="H49" i="4"/>
  <c r="I49" i="4"/>
  <c r="J49" i="4"/>
  <c r="C50" i="4"/>
  <c r="D50" i="4"/>
  <c r="E50" i="4"/>
  <c r="F50" i="4"/>
  <c r="G50" i="4"/>
  <c r="H50" i="4"/>
  <c r="I50" i="4"/>
  <c r="J50" i="4"/>
  <c r="C51" i="4"/>
  <c r="D51" i="4"/>
  <c r="E51" i="4"/>
  <c r="F51" i="4"/>
  <c r="G51" i="4"/>
  <c r="H51" i="4"/>
  <c r="I51" i="4"/>
  <c r="J51" i="4"/>
  <c r="C52" i="4"/>
  <c r="D52" i="4"/>
  <c r="E52" i="4"/>
  <c r="F52" i="4"/>
  <c r="G52" i="4"/>
  <c r="H52" i="4"/>
  <c r="I52" i="4"/>
  <c r="J52" i="4"/>
  <c r="C53" i="4"/>
  <c r="D53" i="4"/>
  <c r="E53" i="4"/>
  <c r="F53" i="4"/>
  <c r="G53" i="4"/>
  <c r="H53" i="4"/>
  <c r="I53" i="4"/>
  <c r="J53" i="4"/>
  <c r="C54" i="4"/>
  <c r="D54" i="4"/>
  <c r="E54" i="4"/>
  <c r="F54" i="4"/>
  <c r="G54" i="4"/>
  <c r="H54" i="4"/>
  <c r="I54" i="4"/>
  <c r="J54" i="4"/>
  <c r="B48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E20" i="3"/>
  <c r="C19" i="3"/>
  <c r="F10" i="3"/>
  <c r="E10" i="3"/>
  <c r="D10" i="3"/>
  <c r="C10" i="3"/>
  <c r="B10" i="3"/>
  <c r="G10" i="3" s="1"/>
  <c r="F6" i="3"/>
  <c r="E6" i="3"/>
  <c r="D6" i="3"/>
  <c r="C6" i="3"/>
  <c r="C20" i="3" s="1"/>
  <c r="B6" i="3"/>
  <c r="B20" i="3" s="1"/>
  <c r="B22" i="2"/>
  <c r="C33" i="3" s="1"/>
  <c r="F16" i="2"/>
  <c r="C16" i="2"/>
  <c r="B16" i="2"/>
  <c r="C30" i="3" s="1"/>
  <c r="E15" i="2"/>
  <c r="G15" i="2" s="1"/>
  <c r="E14" i="2"/>
  <c r="I14" i="2" s="1"/>
  <c r="E11" i="3" s="1"/>
  <c r="E13" i="2"/>
  <c r="I13" i="2" s="1"/>
  <c r="D11" i="3" s="1"/>
  <c r="E12" i="2"/>
  <c r="G12" i="2" s="1"/>
  <c r="E11" i="2"/>
  <c r="I11" i="2" s="1"/>
  <c r="B11" i="3" l="1"/>
  <c r="F9" i="3"/>
  <c r="D20" i="3"/>
  <c r="I15" i="2"/>
  <c r="F11" i="3" s="1"/>
  <c r="G11" i="2"/>
  <c r="G14" i="2"/>
  <c r="B21" i="3"/>
  <c r="G21" i="3" s="1"/>
  <c r="E16" i="2"/>
  <c r="C9" i="3"/>
  <c r="I12" i="2"/>
  <c r="C11" i="3" s="1"/>
  <c r="G13" i="2"/>
  <c r="C21" i="3"/>
  <c r="C22" i="3" s="1"/>
  <c r="C37" i="3" s="1"/>
  <c r="B9" i="3"/>
  <c r="B19" i="3"/>
  <c r="B22" i="3" s="1"/>
  <c r="B37" i="3" s="1"/>
  <c r="D9" i="3"/>
  <c r="D19" i="3"/>
  <c r="E9" i="3"/>
  <c r="E19" i="3"/>
  <c r="E22" i="3" s="1"/>
  <c r="D22" i="3"/>
  <c r="F19" i="3"/>
  <c r="D21" i="3"/>
  <c r="E21" i="3"/>
  <c r="F21" i="3"/>
  <c r="G6" i="3"/>
  <c r="F20" i="3"/>
  <c r="G20" i="3" s="1"/>
  <c r="E12" i="3" l="1"/>
  <c r="E15" i="3" s="1"/>
  <c r="C12" i="3"/>
  <c r="C15" i="3" s="1"/>
  <c r="F12" i="3"/>
  <c r="F15" i="3" s="1"/>
  <c r="F16" i="3" s="1"/>
  <c r="F36" i="3" s="1"/>
  <c r="D12" i="3"/>
  <c r="D15" i="3" s="1"/>
  <c r="I16" i="2"/>
  <c r="G11" i="3"/>
  <c r="G9" i="3"/>
  <c r="B12" i="3"/>
  <c r="G12" i="3" s="1"/>
  <c r="B31" i="3" s="1"/>
  <c r="E37" i="3"/>
  <c r="G16" i="2"/>
  <c r="D37" i="3"/>
  <c r="F22" i="3"/>
  <c r="F25" i="3" s="1"/>
  <c r="F26" i="3" s="1"/>
  <c r="F38" i="3" s="1"/>
  <c r="G19" i="3"/>
  <c r="B30" i="3"/>
  <c r="D30" i="3" s="1"/>
  <c r="E30" i="3" s="1"/>
  <c r="G22" i="3"/>
  <c r="B33" i="3" s="1"/>
  <c r="D33" i="3" s="1"/>
  <c r="E33" i="3" s="1"/>
  <c r="D16" i="3" l="1"/>
  <c r="D36" i="3" s="1"/>
  <c r="D25" i="3"/>
  <c r="D26" i="3" s="1"/>
  <c r="D38" i="3" s="1"/>
  <c r="C25" i="3"/>
  <c r="C26" i="3" s="1"/>
  <c r="C38" i="3" s="1"/>
  <c r="C16" i="3"/>
  <c r="C36" i="3" s="1"/>
  <c r="E16" i="3"/>
  <c r="E36" i="3" s="1"/>
  <c r="E25" i="3"/>
  <c r="E26" i="3" s="1"/>
  <c r="E38" i="3" s="1"/>
  <c r="B15" i="3"/>
  <c r="G15" i="3" s="1"/>
  <c r="G16" i="3" s="1"/>
  <c r="C31" i="3"/>
  <c r="D31" i="3" s="1"/>
  <c r="E31" i="3" s="1"/>
  <c r="F37" i="3"/>
  <c r="C32" i="3"/>
  <c r="B16" i="3" l="1"/>
  <c r="B36" i="3" s="1"/>
  <c r="B25" i="3"/>
  <c r="B26" i="3"/>
  <c r="B38" i="3" s="1"/>
  <c r="G25" i="3"/>
  <c r="B32" i="3" l="1"/>
  <c r="D32" i="3" s="1"/>
  <c r="E32" i="3" s="1"/>
  <c r="G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H11" authorId="0" shapeId="0" xr:uid="{F797F0F5-1B56-F645-A97C-359B722AD947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% sobre coste base de técnicos por horas extra de urgencias</t>
        </r>
      </text>
    </comment>
    <comment ref="B19" authorId="0" shapeId="0" xr:uid="{F779109B-1EB6-9F45-9D3B-B0513019EB8D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administración, dirección, RRHH, IT, etc. Rango típico sector: 10%-15%</t>
        </r>
      </text>
    </comment>
    <comment ref="B20" authorId="0" shapeId="0" xr:uid="{E8519342-CCEE-394B-B641-084768C5F174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Incluye equipo comercial, ofertas, desplazamientos. Rango típico sector: 3%-7%</t>
        </r>
      </text>
    </comment>
    <comment ref="B21" authorId="0" shapeId="0" xr:uid="{07698C70-BE38-4C44-8172-F568749D26A9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Seguros, vehículos, formación, EPIs,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 Sevilla</author>
  </authors>
  <commentList>
    <comment ref="B37" authorId="0" shapeId="0" xr:uid="{AB7DF33B-F995-DD4A-9D93-64372CAF6143}">
      <text>
        <r>
          <rPr>
            <b/>
            <sz val="10"/>
            <color rgb="FF000000"/>
            <rFont val="Tahoma"/>
            <family val="2"/>
          </rPr>
          <t>Dani Sevilla:</t>
        </r>
        <r>
          <rPr>
            <sz val="10"/>
            <color rgb="FF000000"/>
            <rFont val="Tahoma"/>
            <family val="2"/>
          </rPr>
          <t xml:space="preserve">
Margen neto excluyendo coste de urgencias, para comparar el impacto</t>
        </r>
      </text>
    </comment>
  </commentList>
</comments>
</file>

<file path=xl/sharedStrings.xml><?xml version="1.0" encoding="utf-8"?>
<sst xmlns="http://schemas.openxmlformats.org/spreadsheetml/2006/main" count="182" uniqueCount="114">
  <si>
    <t>GEINSTAL - Modelo de Rentabilidad por Cliente</t>
  </si>
  <si>
    <t>Mantenimiento Integral de Edificios</t>
  </si>
  <si>
    <t>DATOS DE EMPRESA</t>
  </si>
  <si>
    <t>Empleados totales</t>
  </si>
  <si>
    <t>Facturación total (€)</t>
  </si>
  <si>
    <t>Coste medio técnico (€/año)</t>
  </si>
  <si>
    <t>SUPUESTOS POR CLIENTE</t>
  </si>
  <si>
    <t>Cliente</t>
  </si>
  <si>
    <t>Ingresos Anuales (€)</t>
  </si>
  <si>
    <t>Técnicos Asignados</t>
  </si>
  <si>
    <t>Coste Técnico (€/año)</t>
  </si>
  <si>
    <t>Coste Personal Total (€/año)</t>
  </si>
  <si>
    <t>Material Estimado (€/año)</t>
  </si>
  <si>
    <t>Coste Directo Total (€/año)</t>
  </si>
  <si>
    <t>Hospital Vall d'Hebron</t>
  </si>
  <si>
    <t>SEAT Martorell</t>
  </si>
  <si>
    <t>UAB Bellaterra</t>
  </si>
  <si>
    <t>Danone Parets</t>
  </si>
  <si>
    <t>CCCB Barcelona</t>
  </si>
  <si>
    <t>TOTAL</t>
  </si>
  <si>
    <t>PARÁMETROS GENERALES</t>
  </si>
  <si>
    <t>% Gastos estructura s/ingresos</t>
  </si>
  <si>
    <t>% Gastos comerciales s/ingresos</t>
  </si>
  <si>
    <t>% Otros gastos indirectos s/ingresos</t>
  </si>
  <si>
    <t>% Total gastos indirectos</t>
  </si>
  <si>
    <t>NOTAS</t>
  </si>
  <si>
    <t>• Valores en azul son inputs modificables (hardcoded)</t>
  </si>
  <si>
    <t>• Los gastos indirectos se asignan proporcionalmente a los ingresos de cada cliente</t>
  </si>
  <si>
    <t>• El coste de personal incluye salario bruto + SS empresa (coste empresa total)</t>
  </si>
  <si>
    <t>GEINSTAL - Análisis de Rentabilidad por Cliente (Mensual)</t>
  </si>
  <si>
    <t>Todos los valores en €/mes. Fórmulas vinculadas a pestaña Supuestos.</t>
  </si>
  <si>
    <t>INGRESOS MENSUALES</t>
  </si>
  <si>
    <t>Vall d'Hebron</t>
  </si>
  <si>
    <t>SEAT</t>
  </si>
  <si>
    <t>UAB</t>
  </si>
  <si>
    <t>Danone</t>
  </si>
  <si>
    <t>CCCB</t>
  </si>
  <si>
    <t>Ingresos contrato</t>
  </si>
  <si>
    <t>COSTES DIRECTOS MENSUALES</t>
  </si>
  <si>
    <t>Coste personal</t>
  </si>
  <si>
    <t>Coste material</t>
  </si>
  <si>
    <t>Total costes directos</t>
  </si>
  <si>
    <t>MARGEN BRUTO</t>
  </si>
  <si>
    <t>Margen bruto (€)</t>
  </si>
  <si>
    <t>Margen bruto (%)</t>
  </si>
  <si>
    <t>COSTES INDIRECTOS ASIGNADOS</t>
  </si>
  <si>
    <t>Gastos estructura</t>
  </si>
  <si>
    <t>Gastos comerciales</t>
  </si>
  <si>
    <t>Otros gastos indirectos</t>
  </si>
  <si>
    <t>Total costes indirectos</t>
  </si>
  <si>
    <t>MARGEN NETO</t>
  </si>
  <si>
    <t>Margen neto (€)</t>
  </si>
  <si>
    <t>Margen neto (%)</t>
  </si>
  <si>
    <t>CHECK DE CUADRE</t>
  </si>
  <si>
    <t>Concepto</t>
  </si>
  <si>
    <t>Modelo (mensual)</t>
  </si>
  <si>
    <t>Supuestos (anual/12)</t>
  </si>
  <si>
    <t>Diferencia</t>
  </si>
  <si>
    <t>Estado</t>
  </si>
  <si>
    <t>Ingresos totales</t>
  </si>
  <si>
    <t>Margen neto = Ingresos - CD - CI</t>
  </si>
  <si>
    <t>% Indirectos aplicado</t>
  </si>
  <si>
    <t>Margen Bruto %</t>
  </si>
  <si>
    <t>% Horas Extra Urgencias</t>
  </si>
  <si>
    <t>Coste Urgencias (€/año)</t>
  </si>
  <si>
    <t>Coste urgencias</t>
  </si>
  <si>
    <t>Costes directos totales (incl. urgencias)</t>
  </si>
  <si>
    <t>Margen Neto % (sin urgencias)</t>
  </si>
  <si>
    <t>Margen Neto Ajustado %</t>
  </si>
  <si>
    <t>GEINSTAL - Forecast 12 meses y Análisis de Escenarios</t>
  </si>
  <si>
    <t>Proyección del margen neto por cliente y consolidado. Factores modificables en azul.</t>
  </si>
  <si>
    <t>FACTORES DE ESCENARIO</t>
  </si>
  <si>
    <t>Parámetro</t>
  </si>
  <si>
    <t>Base</t>
  </si>
  <si>
    <t>Optimista</t>
  </si>
  <si>
    <t>Pesimista</t>
  </si>
  <si>
    <t>Notas</t>
  </si>
  <si>
    <t>Factor ingresos</t>
  </si>
  <si>
    <t>Aplicado a ingresos base mensuales</t>
  </si>
  <si>
    <t>Factor costes directos</t>
  </si>
  <si>
    <t>Personal + material (sin urgencias)</t>
  </si>
  <si>
    <t>Factor horas extra urgencias</t>
  </si>
  <si>
    <t>Multiplicador sobre coste urgencias base</t>
  </si>
  <si>
    <t>Crecimiento mensual (compuesto)</t>
  </si>
  <si>
    <t>Crecimiento mes a mes aplicado a ingresos</t>
  </si>
  <si>
    <t>PROYECCIÓN 12 MESES - MARGEN NETO CONSOLIDADO POR ESCENARIO</t>
  </si>
  <si>
    <t>Escenario / Mes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</si>
  <si>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</si>
  <si>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</si>
  <si>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</si>
  <si>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</si>
  <si>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</si>
  <si>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</si>
  <si>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</si>
  <si>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</si>
  <si>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</si>
  <si>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</si>
  <si>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</si>
  <si>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</si>
  <si>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Año</t>
  </si>
  <si>
    <t>MARGEN NETO MENSUAL POR CLIENTE - ESCENARIO BASE</t>
  </si>
  <si>
    <t>Cliente / Mes</t>
  </si>
  <si>
    <t>TOTAL CONSOLIDADO</t>
  </si>
  <si>
    <t>MARGEN NETO MENSUAL POR CLIENTE - ESCENARIO OPTIMISTA</t>
  </si>
  <si>
    <t>MARGEN NETO MENSUAL POR CLIENTE - ESCENARIO PESIMISTA</t>
  </si>
  <si>
    <t>TABLA DE SENSIBILIDAD - MARGEN NETO CONSOLIDADO ANUAL (€)</t>
  </si>
  <si>
    <t>Filas: Δ tasa de crecimiento ingresos anual  |  Columnas: Δ coste técnico (personal + urgencias)  |  Verde: margen positivo  |  Rojo: margen negativo</t>
  </si>
  <si>
    <t>Δ Crec \ Δ Coste</t>
  </si>
  <si>
    <t>NOTAS METODOLÓGICAS</t>
  </si>
  <si>
    <t>• Proyección 12 meses: ingresos mensuales base × factor escenario × (1+crec. mensual)^(mes-1). Sin estacionalidad.</t>
  </si>
  <si>
    <t>• Costes directos = (personal + material) × factor CD. Urgencias = coste urgencias base × factor urgencias.</t>
  </si>
  <si>
    <t>• Costes indirectos: % fijo de Supuestos!B22 aplicado sobre ingresos proyectados de cada mes.</t>
  </si>
  <si>
    <t>• Sensibilidad: variación única anual (no compuesta mensual). Centro amarillo = caso base ([F51](&lt;citation:Forecast!F51&gt;)).</t>
  </si>
  <si>
    <t>• Modifica los factores en B6:D9 para recalcular todos los bloques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</si>
</sst>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sz val="12"/>
      <color rgb="FF808080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1F4E79"/>
      <name val="Aptos Narrow"/>
      <scheme val="minor"/>
    </font>
    <font>
      <i/>
      <sz val="12"/>
      <color rgb="FF808080"/>
      <name val="Aptos Narrow"/>
      <scheme val="minor"/>
    </font>
    <font>
      <b/>
      <sz val="11"/>
      <color rgb="FFFFFFFF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1"/>
      <color rgb="FF808080"/>
      <name val="Aptos Narrow"/>
      <scheme val="minor"/>
    </font>
    <font>
      <i/>
      <sz val="11"/>
      <color rgb="FF808080"/>
      <name val="Aptos Narrow"/>
      <scheme val="minor"/>
    </font>
    <font>
      <b/>
      <i/>
      <sz val="11"/>
      <color rgb="FF808080"/>
      <name val="Aptos Narrow"/>
      <scheme val="minor"/>
    </font>
    <font>
      <b/>
      <sz val="12"/>
      <color rgb="FF375623"/>
      <name val="Aptos Narrow"/>
      <scheme val="minor"/>
    </font>
    <font>
      <b/>
      <sz val="12"/>
      <color rgb="FFC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rgb="FFBF8F00"/>
      </left>
      <right style="thick">
        <color rgb="FFBF8F00"/>
      </right>
      <top style="thick">
        <color rgb="FFBF8F00"/>
      </top>
      <bottom style="thick">
        <color rgb="FFBF8F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0" borderId="0" xfId="0" applyFont="1"/>
    <xf numFmtId="3" fontId="6" fillId="0" borderId="0" xfId="0" applyNumberFormat="1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3" fontId="0" fillId="0" borderId="0" xfId="0" applyNumberFormat="1"/>
    <xf numFmtId="3" fontId="1" fillId="3" borderId="0" xfId="0" applyNumberFormat="1" applyFont="1" applyFill="1"/>
    <xf numFmtId="0" fontId="0" fillId="3" borderId="0" xfId="0" applyFill="1"/>
    <xf numFmtId="3" fontId="1" fillId="0" borderId="0" xfId="0" applyNumberFormat="1" applyFont="1"/>
    <xf numFmtId="164" fontId="6" fillId="0" borderId="0" xfId="0" applyNumberFormat="1" applyFont="1"/>
    <xf numFmtId="0" fontId="1" fillId="4" borderId="0" xfId="0" applyFont="1" applyFill="1"/>
    <xf numFmtId="164" fontId="0" fillId="0" borderId="0" xfId="0" applyNumberFormat="1"/>
    <xf numFmtId="164" fontId="1" fillId="0" borderId="0" xfId="0" applyNumberFormat="1" applyFont="1"/>
    <xf numFmtId="164" fontId="1" fillId="4" borderId="0" xfId="0" applyNumberFormat="1" applyFont="1" applyFill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0" fontId="1" fillId="9" borderId="0" xfId="0" applyFont="1" applyFill="1"/>
    <xf numFmtId="0" fontId="1" fillId="9" borderId="0" xfId="0" applyFont="1" applyFill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1" fillId="5" borderId="1" xfId="0" applyFont="1" applyFill="1" applyBorder="1"/>
    <xf numFmtId="3" fontId="1" fillId="5" borderId="1" xfId="0" applyNumberFormat="1" applyFont="1" applyFill="1" applyBorder="1"/>
    <xf numFmtId="0" fontId="1" fillId="0" borderId="2" xfId="0" applyFont="1" applyBorder="1"/>
    <xf numFmtId="3" fontId="1" fillId="0" borderId="2" xfId="0" applyNumberFormat="1" applyFont="1" applyBorder="1"/>
    <xf numFmtId="0" fontId="1" fillId="0" borderId="3" xfId="0" applyFont="1" applyBorder="1"/>
    <xf numFmtId="3" fontId="1" fillId="0" borderId="3" xfId="0" applyNumberFormat="1" applyFont="1" applyBorder="1"/>
    <xf numFmtId="0" fontId="1" fillId="3" borderId="4" xfId="0" applyFont="1" applyFill="1" applyBorder="1"/>
    <xf numFmtId="3" fontId="1" fillId="3" borderId="4" xfId="0" applyNumberFormat="1" applyFont="1" applyFill="1" applyBorder="1"/>
    <xf numFmtId="3" fontId="1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0" fontId="13" fillId="0" borderId="0" xfId="0" applyFont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10" fontId="6" fillId="0" borderId="0" xfId="0" applyNumberFormat="1" applyFont="1" applyAlignment="1">
      <alignment horizontal="center"/>
    </xf>
    <xf numFmtId="165" fontId="12" fillId="0" borderId="0" xfId="0" applyNumberFormat="1" applyFont="1"/>
    <xf numFmtId="0" fontId="17" fillId="0" borderId="0" xfId="0" applyFont="1"/>
    <xf numFmtId="0" fontId="18" fillId="0" borderId="0" xfId="0" applyFont="1"/>
    <xf numFmtId="165" fontId="0" fillId="0" borderId="0" xfId="0" applyNumberFormat="1"/>
    <xf numFmtId="165" fontId="1" fillId="4" borderId="0" xfId="0" applyNumberFormat="1" applyFont="1" applyFill="1"/>
    <xf numFmtId="0" fontId="11" fillId="6" borderId="0" xfId="0" applyFont="1" applyFill="1"/>
    <xf numFmtId="0" fontId="1" fillId="4" borderId="4" xfId="0" applyFont="1" applyFill="1" applyBorder="1"/>
    <xf numFmtId="165" fontId="1" fillId="4" borderId="4" xfId="0" applyNumberFormat="1" applyFont="1" applyFill="1" applyBorder="1"/>
    <xf numFmtId="165" fontId="0" fillId="0" borderId="0" xfId="0" applyNumberFormat="1" applyBorder="1" applyAlignment="1">
      <alignment horizontal="center"/>
    </xf>
    <xf numFmtId="9" fontId="1" fillId="3" borderId="4" xfId="0" applyNumberFormat="1" applyFont="1" applyFill="1" applyBorder="1" applyAlignment="1">
      <alignment horizontal="center"/>
    </xf>
    <xf numFmtId="9" fontId="1" fillId="4" borderId="4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9" fontId="1" fillId="3" borderId="6" xfId="0" applyNumberFormat="1" applyFont="1" applyFill="1" applyBorder="1" applyAlignment="1">
      <alignment horizontal="center"/>
    </xf>
    <xf numFmtId="9" fontId="1" fillId="4" borderId="6" xfId="0" applyNumberFormat="1" applyFont="1" applyFill="1" applyBorder="1" applyAlignment="1">
      <alignment horizontal="center"/>
    </xf>
    <xf numFmtId="9" fontId="1" fillId="3" borderId="7" xfId="0" applyNumberFormat="1" applyFont="1" applyFill="1" applyBorder="1" applyAlignment="1">
      <alignment horizontal="center"/>
    </xf>
    <xf numFmtId="9" fontId="1" fillId="3" borderId="8" xfId="0" applyNumberFormat="1" applyFon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1" fillId="10" borderId="11" xfId="0" applyNumberFormat="1" applyFont="1" applyFill="1" applyBorder="1" applyAlignment="1">
      <alignment horizontal="center"/>
    </xf>
    <xf numFmtId="0" fontId="13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Comparativa de Márgenes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Modelo!$A$36</c:f>
              <c:strCache>
                <c:ptCount val="1"/>
                <c:pt idx="0">
                  <c:v>Margen Bruto %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Modelo!$B$36:$F$36</c:f>
              <c:numCache>
                <c:formatCode>0.0%</c:formatCode>
                <c:ptCount val="5"/>
                <c:pt idx="0">
                  <c:v>0.22800000000000001</c:v>
                </c:pt>
                <c:pt idx="1">
                  <c:v>0.31785714285714284</c:v>
                </c:pt>
                <c:pt idx="2">
                  <c:v>0.31583333333333335</c:v>
                </c:pt>
                <c:pt idx="3">
                  <c:v>0.3041666666666667</c:v>
                </c:pt>
                <c:pt idx="4">
                  <c:v>0.53999999999999992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1-FC4B-ABA9-7A03AD0D7724}"/>
            </c:ext>
          </c:extLst>
        </c:ser>
        <c:ser>
          <c:idx val="1"/>
          <c:order val="1"/>
          <c:tx>
            <c:strRef>
              <c:f>Modelo!$A$37</c:f>
              <c:strCache>
                <c:ptCount val="1"/>
                <c:pt idx="0">
                  <c:v>Margen Neto % (sin urgencias)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Modelo!$B$37:$F$37</c:f>
              <c:numCache>
                <c:formatCode>0.0%</c:formatCode>
                <c:ptCount val="5"/>
                <c:pt idx="0">
                  <c:v>7.7777777777777807E-2</c:v>
                </c:pt>
                <c:pt idx="1">
                  <c:v>0.19285714285714287</c:v>
                </c:pt>
                <c:pt idx="2">
                  <c:v>0.13333333333333333</c:v>
                </c:pt>
                <c:pt idx="3">
                  <c:v>0.13333333333333339</c:v>
                </c:pt>
                <c:pt idx="4">
                  <c:v>0.3473684210526316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159552"/>
        <c:axId val="332377920"/>
      </c:barChart>
      <c:lineChart>
        <c:grouping val="standard"/>
        <c:varyColors val="0"/>
        <c:ser>
          <c:idx val="2"/>
          <c:order val="2"/>
          <c:tx>
            <c:strRef>
              <c:f>Modelo!$A$38</c:f>
              <c:strCache>
                <c:ptCount val="1"/>
                <c:pt idx="0">
                  <c:v>Margen Neto Ajustado %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Modelo!$B$35:$F$35</c:f>
              <c:strCache>
                <c:ptCount val="5"/>
                <c:pt idx="0">
                  <c:v>Vall d'Hebron</c:v>
                </c:pt>
                <c:pt idx="1">
                  <c:v>SEAT</c:v>
                </c:pt>
                <c:pt idx="2">
                  <c:v>UAB</c:v>
                </c:pt>
                <c:pt idx="3">
                  <c:v>Danone</c:v>
                </c:pt>
                <c:pt idx="4">
                  <c:v>CCCB</c:v>
                </c:pt>
              </c:strCache>
            </c:strRef>
          </c:cat>
          <c:val>
            <c:numRef>
              <c:f>Modelo!$B$38:$F$38</c:f>
              <c:numCache>
                <c:formatCode>0.0%</c:formatCode>
                <c:ptCount val="5"/>
                <c:pt idx="0">
                  <c:v>2.8000000000000001E-2</c:v>
                </c:pt>
                <c:pt idx="1">
                  <c:v>0.11785714285714287</c:v>
                </c:pt>
                <c:pt idx="2">
                  <c:v>0.11583333333333333</c:v>
                </c:pt>
                <c:pt idx="3">
                  <c:v>0.1041666666666667</c:v>
                </c:pt>
                <c:pt idx="4">
                  <c:v>0.33999999999999997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1-FC4B-ABA9-7A03AD0D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159552"/>
        <c:axId val="332377920"/>
      </c:lineChart>
      <c:catAx>
        <c:axId val="2491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2377920"/>
        <c:crosses val="autoZero"/>
        <c:auto val="1"/>
        <c:lblAlgn val="ctr"/>
        <c:lblOffset val="100"/>
        <c:noMultiLvlLbl val="0"/>
      </c:catAx>
      <c:valAx>
        <c:axId val="3323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91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165100</xdr:rowOff>
    </xdr:from>
    <xdr:to>
      <xdr:col>5</xdr:col>
      <xdr:colOff>254000</xdr:colOff>
      <xdr:row>64</xdr:row>
      <xdr:rowOff>114300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9C8D3BC-A4C9-62B4-C63B-4433507D0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20B3A2-79FF-6945-BD9D-E342167A1F79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3a2ed808-ddfe-4b39-9886-6f34cc872e7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1661-E9EC-4441-9391-F274E56D12D0}">
  <dimension ref="A1:I27"/>
  <sheetViews>
    <sheetView workbookViewId="0">
      <selection activeCell="E18" sqref="E18"/>
    </sheetView>
  </sheetViews>
  <sheetFormatPr baseColWidth="10" defaultRowHeight="16" x14ac:dyDescent="0.2"/>
  <cols>
    <col min="1" max="1" width="40" customWidth="1"/>
    <col min="2" max="7" width="23.33203125" customWidth="1"/>
    <col min="8" max="9" width="25.83203125" customWidth="1"/>
  </cols>
  <sheetData>
    <row r="1" spans="1:9" ht="19" x14ac:dyDescent="0.25">
      <c r="A1" s="1" t="s">
        <v>0</v>
      </c>
    </row>
    <row r="2" spans="1:9" x14ac:dyDescent="0.2">
      <c r="A2" s="3" t="s">
        <v>1</v>
      </c>
    </row>
    <row r="4" spans="1:9" x14ac:dyDescent="0.2">
      <c r="A4" s="4" t="s">
        <v>2</v>
      </c>
      <c r="B4" s="5"/>
      <c r="C4" s="5"/>
    </row>
    <row r="5" spans="1:9" x14ac:dyDescent="0.2">
      <c r="A5" s="6" t="s">
        <v>3</v>
      </c>
      <c r="B5" s="7">
        <v>305</v>
      </c>
    </row>
    <row r="6" spans="1:9" x14ac:dyDescent="0.2">
      <c r="A6" s="6" t="s">
        <v>4</v>
      </c>
      <c r="B6" s="7">
        <v>35000000</v>
      </c>
    </row>
    <row r="7" spans="1:9" x14ac:dyDescent="0.2">
      <c r="A7" s="6" t="s">
        <v>5</v>
      </c>
      <c r="B7" s="7">
        <v>35000</v>
      </c>
    </row>
    <row r="9" spans="1:9" x14ac:dyDescent="0.2">
      <c r="A9" s="4" t="s">
        <v>6</v>
      </c>
      <c r="B9" s="5"/>
      <c r="C9" s="5"/>
      <c r="D9" s="5"/>
      <c r="E9" s="5"/>
      <c r="F9" s="5"/>
      <c r="G9" s="5"/>
      <c r="H9" s="5"/>
      <c r="I9" s="5"/>
    </row>
    <row r="10" spans="1:9" x14ac:dyDescent="0.2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  <c r="F10" s="9" t="s">
        <v>12</v>
      </c>
      <c r="G10" s="9" t="s">
        <v>13</v>
      </c>
      <c r="H10" s="9" t="s">
        <v>63</v>
      </c>
      <c r="I10" s="9" t="s">
        <v>64</v>
      </c>
    </row>
    <row r="11" spans="1:9" x14ac:dyDescent="0.2">
      <c r="A11" t="s">
        <v>14</v>
      </c>
      <c r="B11" s="7">
        <v>450000</v>
      </c>
      <c r="C11" s="10">
        <v>8</v>
      </c>
      <c r="D11" s="7">
        <v>35000</v>
      </c>
      <c r="E11" s="11">
        <f>C11*D11</f>
        <v>280000</v>
      </c>
      <c r="F11" s="7">
        <v>45000</v>
      </c>
      <c r="G11" s="11">
        <f>E11+F11</f>
        <v>325000</v>
      </c>
      <c r="H11" s="15">
        <v>0.08</v>
      </c>
      <c r="I11" s="11">
        <f>E11*H11</f>
        <v>22400</v>
      </c>
    </row>
    <row r="12" spans="1:9" x14ac:dyDescent="0.2">
      <c r="A12" t="s">
        <v>15</v>
      </c>
      <c r="B12" s="7">
        <v>280000</v>
      </c>
      <c r="C12" s="10">
        <v>4</v>
      </c>
      <c r="D12" s="7">
        <v>35000</v>
      </c>
      <c r="E12" s="11">
        <f>C12*D12</f>
        <v>140000</v>
      </c>
      <c r="F12" s="7">
        <v>30000</v>
      </c>
      <c r="G12" s="11">
        <f>E12+F12</f>
        <v>170000</v>
      </c>
      <c r="H12" s="15">
        <v>0.15</v>
      </c>
      <c r="I12" s="11">
        <f>E12*H12</f>
        <v>21000</v>
      </c>
    </row>
    <row r="13" spans="1:9" x14ac:dyDescent="0.2">
      <c r="A13" t="s">
        <v>16</v>
      </c>
      <c r="B13" s="7">
        <v>180000</v>
      </c>
      <c r="C13" s="10">
        <v>3</v>
      </c>
      <c r="D13" s="7">
        <v>35000</v>
      </c>
      <c r="E13" s="11">
        <f>C13*D13</f>
        <v>105000</v>
      </c>
      <c r="F13" s="7">
        <v>15000</v>
      </c>
      <c r="G13" s="11">
        <f>E13+F13</f>
        <v>120000</v>
      </c>
      <c r="H13" s="15">
        <v>0.03</v>
      </c>
      <c r="I13" s="11">
        <f>E13*H13</f>
        <v>3150</v>
      </c>
    </row>
    <row r="14" spans="1:9" x14ac:dyDescent="0.2">
      <c r="A14" t="s">
        <v>17</v>
      </c>
      <c r="B14" s="7">
        <v>120000</v>
      </c>
      <c r="C14" s="10">
        <v>2</v>
      </c>
      <c r="D14" s="7">
        <v>35000</v>
      </c>
      <c r="E14" s="11">
        <f>C14*D14</f>
        <v>70000</v>
      </c>
      <c r="F14" s="7">
        <v>10000</v>
      </c>
      <c r="G14" s="11">
        <f>E14+F14</f>
        <v>80000</v>
      </c>
      <c r="H14" s="15">
        <v>0.05</v>
      </c>
      <c r="I14" s="11">
        <f>E14*H14</f>
        <v>3500</v>
      </c>
    </row>
    <row r="15" spans="1:9" ht="17" thickBot="1" x14ac:dyDescent="0.25">
      <c r="A15" t="s">
        <v>18</v>
      </c>
      <c r="B15" s="7">
        <v>95000</v>
      </c>
      <c r="C15" s="10">
        <v>1</v>
      </c>
      <c r="D15" s="7">
        <v>35000</v>
      </c>
      <c r="E15" s="11">
        <f>C15*D15</f>
        <v>35000</v>
      </c>
      <c r="F15" s="7">
        <v>8000</v>
      </c>
      <c r="G15" s="11">
        <f>E15+F15</f>
        <v>43000</v>
      </c>
      <c r="H15" s="15">
        <v>0.02</v>
      </c>
      <c r="I15" s="11">
        <f>E15*H15</f>
        <v>700</v>
      </c>
    </row>
    <row r="16" spans="1:9" x14ac:dyDescent="0.2">
      <c r="A16" s="36" t="s">
        <v>19</v>
      </c>
      <c r="B16" s="37">
        <f>SUM(B11:B15)</f>
        <v>1125000</v>
      </c>
      <c r="C16" s="38">
        <f>SUM(C11:C15)</f>
        <v>18</v>
      </c>
      <c r="D16" s="39"/>
      <c r="E16" s="37">
        <f>SUM(E11:E15)</f>
        <v>630000</v>
      </c>
      <c r="F16" s="37">
        <f>SUM(F11:F15)</f>
        <v>108000</v>
      </c>
      <c r="G16" s="37">
        <f>SUM(G11:G15)</f>
        <v>738000</v>
      </c>
      <c r="H16" s="13"/>
      <c r="I16" s="12">
        <f>SUM(I11:I15)</f>
        <v>50750</v>
      </c>
    </row>
    <row r="18" spans="1:4" x14ac:dyDescent="0.2">
      <c r="A18" s="4" t="s">
        <v>20</v>
      </c>
      <c r="B18" s="5"/>
      <c r="C18" s="5"/>
    </row>
    <row r="19" spans="1:4" x14ac:dyDescent="0.2">
      <c r="A19" s="6" t="s">
        <v>21</v>
      </c>
      <c r="B19" s="15">
        <v>0.12</v>
      </c>
    </row>
    <row r="20" spans="1:4" x14ac:dyDescent="0.2">
      <c r="A20" s="6" t="s">
        <v>22</v>
      </c>
      <c r="B20" s="15">
        <v>0.05</v>
      </c>
    </row>
    <row r="21" spans="1:4" x14ac:dyDescent="0.2">
      <c r="A21" s="6" t="s">
        <v>23</v>
      </c>
      <c r="B21" s="15">
        <v>0.03</v>
      </c>
    </row>
    <row r="22" spans="1:4" x14ac:dyDescent="0.2">
      <c r="A22" s="16" t="s">
        <v>24</v>
      </c>
      <c r="B22" s="19">
        <f>B19+B20+B21</f>
        <v>0.19999999999999998</v>
      </c>
    </row>
    <row r="24" spans="1:4" x14ac:dyDescent="0.2">
      <c r="A24" s="4" t="s">
        <v>25</v>
      </c>
      <c r="B24" s="5"/>
      <c r="C24" s="5"/>
      <c r="D24" s="5"/>
    </row>
    <row r="25" spans="1:4" x14ac:dyDescent="0.2">
      <c r="A25" s="2" t="s">
        <v>26</v>
      </c>
    </row>
    <row r="26" spans="1:4" x14ac:dyDescent="0.2">
      <c r="A26" s="2" t="s">
        <v>27</v>
      </c>
    </row>
    <row r="27" spans="1:4" x14ac:dyDescent="0.2">
      <c r="A27" s="2" t="s">
        <v>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AB3E-2062-DC45-B20A-7A6FE84B2C3E}">
  <dimension ref="A1:G39"/>
  <sheetViews>
    <sheetView workbookViewId="0">
      <selection activeCell="E29" sqref="E29"/>
    </sheetView>
  </sheetViews>
  <sheetFormatPr baseColWidth="10" defaultRowHeight="16" outlineLevelRow="2" x14ac:dyDescent="0.2"/>
  <cols>
    <col min="1" max="1" width="36.6640625" customWidth="1"/>
    <col min="2" max="7" width="20" customWidth="1"/>
  </cols>
  <sheetData>
    <row r="1" spans="1:7" ht="19" x14ac:dyDescent="0.25">
      <c r="A1" s="1" t="s">
        <v>29</v>
      </c>
    </row>
    <row r="2" spans="1:7" x14ac:dyDescent="0.2">
      <c r="A2" s="3" t="s">
        <v>30</v>
      </c>
    </row>
    <row r="4" spans="1:7" x14ac:dyDescent="0.2">
      <c r="A4" s="4" t="s">
        <v>31</v>
      </c>
      <c r="B4" s="5"/>
      <c r="C4" s="5"/>
      <c r="D4" s="5"/>
      <c r="E4" s="5"/>
      <c r="F4" s="5"/>
      <c r="G4" s="5"/>
    </row>
    <row r="5" spans="1:7" x14ac:dyDescent="0.2">
      <c r="A5" s="8" t="s">
        <v>7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19</v>
      </c>
    </row>
    <row r="6" spans="1:7" x14ac:dyDescent="0.2">
      <c r="A6" t="s">
        <v>37</v>
      </c>
      <c r="B6" s="11">
        <f>Supuestos!B11/12</f>
        <v>37500</v>
      </c>
      <c r="C6" s="11">
        <f>Supuestos!B12/12</f>
        <v>23333.333333333332</v>
      </c>
      <c r="D6" s="11">
        <f>Supuestos!B13/12</f>
        <v>15000</v>
      </c>
      <c r="E6" s="11">
        <f>Supuestos!B14/12</f>
        <v>10000</v>
      </c>
      <c r="F6" s="11">
        <f>Supuestos!B15/12</f>
        <v>7916.666666666667</v>
      </c>
      <c r="G6" s="14">
        <f>SUM(B6:F6)</f>
        <v>93750</v>
      </c>
    </row>
    <row r="8" spans="1:7" x14ac:dyDescent="0.2">
      <c r="A8" s="4" t="s">
        <v>38</v>
      </c>
      <c r="B8" s="5"/>
      <c r="C8" s="5"/>
      <c r="D8" s="5"/>
      <c r="E8" s="5"/>
      <c r="F8" s="5"/>
      <c r="G8" s="5"/>
    </row>
    <row r="9" spans="1:7" x14ac:dyDescent="0.2">
      <c r="A9" t="s">
        <v>39</v>
      </c>
      <c r="B9" s="11">
        <f>Supuestos!E11/12</f>
        <v>23333.333333333332</v>
      </c>
      <c r="C9" s="11">
        <f>Supuestos!E12/12</f>
        <v>11666.666666666666</v>
      </c>
      <c r="D9" s="11">
        <f>Supuestos!E13/12</f>
        <v>8750</v>
      </c>
      <c r="E9" s="11">
        <f>Supuestos!E14/12</f>
        <v>5833.333333333333</v>
      </c>
      <c r="F9" s="11">
        <f>Supuestos!E15/12</f>
        <v>2916.6666666666665</v>
      </c>
      <c r="G9" s="14">
        <f>SUM(B9:F9)</f>
        <v>52500</v>
      </c>
    </row>
    <row r="10" spans="1:7" x14ac:dyDescent="0.2">
      <c r="A10" t="s">
        <v>40</v>
      </c>
      <c r="B10" s="11">
        <f>Supuestos!F11/12</f>
        <v>3750</v>
      </c>
      <c r="C10" s="11">
        <f>Supuestos!F12/12</f>
        <v>2500</v>
      </c>
      <c r="D10" s="11">
        <f>Supuestos!F13/12</f>
        <v>1250</v>
      </c>
      <c r="E10" s="11">
        <f>Supuestos!F14/12</f>
        <v>833.33333333333337</v>
      </c>
      <c r="F10" s="11">
        <f>Supuestos!F15/12</f>
        <v>666.66666666666663</v>
      </c>
      <c r="G10" s="14">
        <f>SUM(B10:F10)</f>
        <v>9000</v>
      </c>
    </row>
    <row r="11" spans="1:7" x14ac:dyDescent="0.2">
      <c r="A11" t="s">
        <v>65</v>
      </c>
      <c r="B11" s="11">
        <f>Supuestos!I11/12</f>
        <v>1866.6666666666667</v>
      </c>
      <c r="C11" s="11">
        <f>Supuestos!I12/12</f>
        <v>1750</v>
      </c>
      <c r="D11" s="11">
        <f>Supuestos!I13/12</f>
        <v>262.5</v>
      </c>
      <c r="E11" s="11">
        <f>Supuestos!I14/12</f>
        <v>291.66666666666669</v>
      </c>
      <c r="F11" s="11">
        <f>Supuestos!I15/12</f>
        <v>58.333333333333336</v>
      </c>
      <c r="G11" s="14">
        <f>SUM(B11:F11)</f>
        <v>4229.166666666667</v>
      </c>
    </row>
    <row r="12" spans="1:7" ht="17" thickBot="1" x14ac:dyDescent="0.25">
      <c r="A12" s="30" t="s">
        <v>41</v>
      </c>
      <c r="B12" s="31">
        <f>B9+B10+B11</f>
        <v>28950</v>
      </c>
      <c r="C12" s="31">
        <f>C9+C10+C11</f>
        <v>15916.666666666666</v>
      </c>
      <c r="D12" s="31">
        <f>D9+D10+D11</f>
        <v>10262.5</v>
      </c>
      <c r="E12" s="31">
        <f>E9+E10+E11</f>
        <v>6958.333333333333</v>
      </c>
      <c r="F12" s="31">
        <f>F9+F10+F11</f>
        <v>3641.6666666666665</v>
      </c>
      <c r="G12" s="31">
        <f>SUM(B12:F12)</f>
        <v>65729.166666666672</v>
      </c>
    </row>
    <row r="14" spans="1:7" x14ac:dyDescent="0.2">
      <c r="A14" s="20" t="s">
        <v>42</v>
      </c>
      <c r="B14" s="21"/>
      <c r="C14" s="21"/>
      <c r="D14" s="21"/>
      <c r="E14" s="21"/>
      <c r="F14" s="21"/>
      <c r="G14" s="21"/>
    </row>
    <row r="15" spans="1:7" x14ac:dyDescent="0.2">
      <c r="A15" s="32" t="s">
        <v>43</v>
      </c>
      <c r="B15" s="33">
        <f>B6-B12</f>
        <v>8550</v>
      </c>
      <c r="C15" s="33">
        <f>C6-C12</f>
        <v>7416.6666666666661</v>
      </c>
      <c r="D15" s="33">
        <f>D6-D12</f>
        <v>4737.5</v>
      </c>
      <c r="E15" s="33">
        <f>E6-E12</f>
        <v>3041.666666666667</v>
      </c>
      <c r="F15" s="33">
        <f>F6-F12</f>
        <v>4275</v>
      </c>
      <c r="G15" s="33">
        <f>SUM(B15:F15)</f>
        <v>28020.833333333332</v>
      </c>
    </row>
    <row r="16" spans="1:7" x14ac:dyDescent="0.2">
      <c r="A16" t="s">
        <v>44</v>
      </c>
      <c r="B16" s="17">
        <f t="shared" ref="B16:G16" si="0">IF(B6=0,0,B15/B6)</f>
        <v>0.22800000000000001</v>
      </c>
      <c r="C16" s="17">
        <f t="shared" si="0"/>
        <v>0.31785714285714284</v>
      </c>
      <c r="D16" s="17">
        <f t="shared" si="0"/>
        <v>0.31583333333333335</v>
      </c>
      <c r="E16" s="17">
        <f t="shared" si="0"/>
        <v>0.3041666666666667</v>
      </c>
      <c r="F16" s="17">
        <f t="shared" si="0"/>
        <v>0.53999999999999992</v>
      </c>
      <c r="G16" s="18">
        <f t="shared" si="0"/>
        <v>0.29888888888888887</v>
      </c>
    </row>
    <row r="18" spans="1:7" x14ac:dyDescent="0.2">
      <c r="A18" s="20" t="s">
        <v>45</v>
      </c>
      <c r="B18" s="21"/>
      <c r="C18" s="21"/>
      <c r="D18" s="21"/>
      <c r="E18" s="21"/>
      <c r="F18" s="21"/>
      <c r="G18" s="21"/>
    </row>
    <row r="19" spans="1:7" x14ac:dyDescent="0.2">
      <c r="A19" t="s">
        <v>46</v>
      </c>
      <c r="B19" s="11">
        <f>B6*Supuestos!$B$19</f>
        <v>4500</v>
      </c>
      <c r="C19" s="11">
        <f>C6*Supuestos!$B$19</f>
        <v>2799.9999999999995</v>
      </c>
      <c r="D19" s="11">
        <f>D6*Supuestos!$B$19</f>
        <v>1800</v>
      </c>
      <c r="E19" s="11">
        <f>E6*Supuestos!$B$19</f>
        <v>1200</v>
      </c>
      <c r="F19" s="11">
        <f>F6*Supuestos!$B$19</f>
        <v>950</v>
      </c>
      <c r="G19" s="14">
        <f>SUM(B19:F19)</f>
        <v>11250</v>
      </c>
    </row>
    <row r="20" spans="1:7" x14ac:dyDescent="0.2">
      <c r="A20" t="s">
        <v>47</v>
      </c>
      <c r="B20" s="11">
        <f>B6*Supuestos!$B$20</f>
        <v>1875</v>
      </c>
      <c r="C20" s="11">
        <f>C6*Supuestos!$B$20</f>
        <v>1166.6666666666667</v>
      </c>
      <c r="D20" s="11">
        <f>D6*Supuestos!$B$20</f>
        <v>750</v>
      </c>
      <c r="E20" s="11">
        <f>E6*Supuestos!$B$20</f>
        <v>500</v>
      </c>
      <c r="F20" s="11">
        <f>F6*Supuestos!$B$20</f>
        <v>395.83333333333337</v>
      </c>
      <c r="G20" s="14">
        <f>SUM(B20:F20)</f>
        <v>4687.5</v>
      </c>
    </row>
    <row r="21" spans="1:7" x14ac:dyDescent="0.2">
      <c r="A21" t="s">
        <v>48</v>
      </c>
      <c r="B21" s="11">
        <f>B6*Supuestos!$B$21</f>
        <v>1125</v>
      </c>
      <c r="C21" s="11">
        <f>C6*Supuestos!$B$21</f>
        <v>699.99999999999989</v>
      </c>
      <c r="D21" s="11">
        <f>D6*Supuestos!$B$21</f>
        <v>450</v>
      </c>
      <c r="E21" s="11">
        <f>E6*Supuestos!$B$21</f>
        <v>300</v>
      </c>
      <c r="F21" s="11">
        <f>F6*Supuestos!$B$21</f>
        <v>237.5</v>
      </c>
      <c r="G21" s="14">
        <f>SUM(B21:F21)</f>
        <v>2812.5</v>
      </c>
    </row>
    <row r="22" spans="1:7" ht="17" thickBot="1" x14ac:dyDescent="0.25">
      <c r="A22" s="30" t="s">
        <v>49</v>
      </c>
      <c r="B22" s="31">
        <f>B19+B20+B21</f>
        <v>7500</v>
      </c>
      <c r="C22" s="31">
        <f>C19+C20+C21</f>
        <v>4666.6666666666661</v>
      </c>
      <c r="D22" s="31">
        <f>D19+D20+D21</f>
        <v>3000</v>
      </c>
      <c r="E22" s="31">
        <f>E19+E20+E21</f>
        <v>2000</v>
      </c>
      <c r="F22" s="31">
        <f>F19+F20+F21</f>
        <v>1583.3333333333335</v>
      </c>
      <c r="G22" s="31">
        <f>SUM(B22:F22)</f>
        <v>18749.999999999996</v>
      </c>
    </row>
    <row r="24" spans="1:7" ht="17" thickBot="1" x14ac:dyDescent="0.25">
      <c r="A24" s="22" t="s">
        <v>50</v>
      </c>
      <c r="B24" s="23"/>
      <c r="C24" s="23"/>
      <c r="D24" s="23"/>
      <c r="E24" s="23"/>
      <c r="F24" s="23"/>
      <c r="G24" s="23"/>
    </row>
    <row r="25" spans="1:7" ht="17" thickTop="1" x14ac:dyDescent="0.2">
      <c r="A25" s="34" t="s">
        <v>51</v>
      </c>
      <c r="B25" s="35">
        <f>B15-B22</f>
        <v>1050</v>
      </c>
      <c r="C25" s="35">
        <f>C15-C22</f>
        <v>2750</v>
      </c>
      <c r="D25" s="35">
        <f>D15-D22</f>
        <v>1737.5</v>
      </c>
      <c r="E25" s="35">
        <f>E15-E22</f>
        <v>1041.666666666667</v>
      </c>
      <c r="F25" s="35">
        <f>F15-F22</f>
        <v>2691.6666666666665</v>
      </c>
      <c r="G25" s="35">
        <f>SUM(B25:F25)</f>
        <v>9270.8333333333339</v>
      </c>
    </row>
    <row r="26" spans="1:7" x14ac:dyDescent="0.2">
      <c r="A26" t="s">
        <v>52</v>
      </c>
      <c r="B26" s="17">
        <f t="shared" ref="B26:G26" si="1">IF(B6=0,0,B25/B6)</f>
        <v>2.8000000000000001E-2</v>
      </c>
      <c r="C26" s="17">
        <f t="shared" si="1"/>
        <v>0.11785714285714287</v>
      </c>
      <c r="D26" s="17">
        <f t="shared" si="1"/>
        <v>0.11583333333333333</v>
      </c>
      <c r="E26" s="17">
        <f t="shared" si="1"/>
        <v>0.1041666666666667</v>
      </c>
      <c r="F26" s="17">
        <f t="shared" si="1"/>
        <v>0.33999999999999997</v>
      </c>
      <c r="G26" s="18">
        <f t="shared" si="1"/>
        <v>9.8888888888888901E-2</v>
      </c>
    </row>
    <row r="28" spans="1:7" x14ac:dyDescent="0.2">
      <c r="A28" s="24" t="s">
        <v>53</v>
      </c>
      <c r="B28" s="25"/>
      <c r="C28" s="25"/>
      <c r="D28" s="25"/>
      <c r="E28" s="25"/>
    </row>
    <row r="29" spans="1:7" x14ac:dyDescent="0.2">
      <c r="A29" s="26" t="s">
        <v>54</v>
      </c>
      <c r="B29" s="27" t="s">
        <v>55</v>
      </c>
      <c r="C29" s="27" t="s">
        <v>56</v>
      </c>
      <c r="D29" s="27" t="s">
        <v>57</v>
      </c>
      <c r="E29" s="27" t="s">
        <v>58</v>
      </c>
    </row>
    <row r="30" spans="1:7" x14ac:dyDescent="0.2">
      <c r="A30" t="s">
        <v>59</v>
      </c>
      <c r="B30" s="11">
        <f>G6</f>
        <v>93750</v>
      </c>
      <c r="C30" s="11">
        <f>Supuestos!B16/12</f>
        <v>93750</v>
      </c>
      <c r="D30" s="28">
        <f>B30-C30</f>
        <v>0</v>
      </c>
      <c r="E30" t="str">
        <f>IF(ABS(D30)&lt;0.01,"✅ OK","❌ ERROR")</f>
        <v>✅ OK</v>
      </c>
    </row>
    <row r="31" spans="1:7" x14ac:dyDescent="0.2">
      <c r="A31" t="s">
        <v>66</v>
      </c>
      <c r="B31" s="11">
        <f>G12</f>
        <v>65729.166666666672</v>
      </c>
      <c r="C31" s="11">
        <f>(Supuestos!G16+Supuestos!I16)/12</f>
        <v>65729.166666666672</v>
      </c>
      <c r="D31" s="28">
        <f>B31-C31</f>
        <v>0</v>
      </c>
      <c r="E31" t="str">
        <f>IF(ABS(D31)&lt;0.01,"✅ OK","❌ ERROR")</f>
        <v>✅ OK</v>
      </c>
    </row>
    <row r="32" spans="1:7" x14ac:dyDescent="0.2">
      <c r="A32" t="s">
        <v>60</v>
      </c>
      <c r="B32" s="11">
        <f>G25</f>
        <v>9270.8333333333339</v>
      </c>
      <c r="C32" s="11">
        <f>G6-G12-G22</f>
        <v>9270.8333333333321</v>
      </c>
      <c r="D32" s="28">
        <f>B32-C32</f>
        <v>0</v>
      </c>
      <c r="E32" t="str">
        <f>IF(ABS(D32)&lt;0.01,"✅ OK","❌ ERROR")</f>
        <v>✅ OK</v>
      </c>
    </row>
    <row r="33" spans="1:6" x14ac:dyDescent="0.2">
      <c r="A33" t="s">
        <v>61</v>
      </c>
      <c r="B33" s="17">
        <f>IF(G6=0,0,G22/G6)</f>
        <v>0.19999999999999996</v>
      </c>
      <c r="C33" s="17">
        <f>Supuestos!B22</f>
        <v>0.19999999999999998</v>
      </c>
      <c r="D33" s="29">
        <f>B33-C33</f>
        <v>0</v>
      </c>
      <c r="E33" t="str">
        <f>IF(ABS(D33)&lt;0.0001,"✅ OK","❌ ERROR")</f>
        <v>✅ OK</v>
      </c>
    </row>
    <row r="35" spans="1:6" hidden="1" outlineLevel="2" x14ac:dyDescent="0.2">
      <c r="B35" t="s">
        <v>32</v>
      </c>
      <c r="C35" t="s">
        <v>33</v>
      </c>
      <c r="D35" t="s">
        <v>34</v>
      </c>
      <c r="E35" t="s">
        <v>35</v>
      </c>
      <c r="F35" t="s">
        <v>36</v>
      </c>
    </row>
    <row r="36" spans="1:6" hidden="1" outlineLevel="2" x14ac:dyDescent="0.2">
      <c r="A36" t="s">
        <v>62</v>
      </c>
      <c r="B36" s="17">
        <f>B16</f>
        <v>0.22800000000000001</v>
      </c>
      <c r="C36" s="17">
        <f>C16</f>
        <v>0.31785714285714284</v>
      </c>
      <c r="D36" s="17">
        <f>D16</f>
        <v>0.31583333333333335</v>
      </c>
      <c r="E36" s="17">
        <f>E16</f>
        <v>0.3041666666666667</v>
      </c>
      <c r="F36" s="17">
        <f>F16</f>
        <v>0.53999999999999992</v>
      </c>
    </row>
    <row r="37" spans="1:6" hidden="1" outlineLevel="2" x14ac:dyDescent="0.2">
      <c r="A37" t="s">
        <v>67</v>
      </c>
      <c r="B37" s="17">
        <f>IF(B6=0,0,(B6-(B9+B10)-B22)/B6)</f>
        <v>7.7777777777777807E-2</v>
      </c>
      <c r="C37" s="17">
        <f>IF(C6=0,0,(C6-(C9+C10)-C22)/C6)</f>
        <v>0.19285714285714287</v>
      </c>
      <c r="D37" s="17">
        <f>IF(D6=0,0,(D6-(D9+D10)-D22)/D6)</f>
        <v>0.13333333333333333</v>
      </c>
      <c r="E37" s="17">
        <f>IF(E6=0,0,(E6-(E9+E10)-E22)/E6)</f>
        <v>0.13333333333333339</v>
      </c>
      <c r="F37" s="17">
        <f>IF(F6=0,0,(F6-(F9+F10)-F22)/F6)</f>
        <v>0.3473684210526316</v>
      </c>
    </row>
    <row r="38" spans="1:6" hidden="1" outlineLevel="1" x14ac:dyDescent="0.2">
      <c r="A38" t="s">
        <v>68</v>
      </c>
      <c r="B38" s="17">
        <f>B26</f>
        <v>2.8000000000000001E-2</v>
      </c>
      <c r="C38" s="17">
        <f>C26</f>
        <v>0.11785714285714287</v>
      </c>
      <c r="D38" s="17">
        <f>D26</f>
        <v>0.11583333333333333</v>
      </c>
      <c r="E38" s="17">
        <f>E26</f>
        <v>0.1041666666666667</v>
      </c>
      <c r="F38" s="17">
        <f>F26</f>
        <v>0.33999999999999997</v>
      </c>
    </row>
    <row r="39" spans="1:6" collapsed="1" x14ac:dyDescent="0.2"/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8589-4ECE-C442-9223-B23A45506EFC}">
  <dimension ref="A1:N61"/>
  <sheetViews>
    <sheetView tabSelected="1" zoomScale="110" zoomScaleNormal="110" workbookViewId="0">
      <selection activeCell="B48" sqref="B48"/>
    </sheetView>
  </sheetViews>
  <sheetFormatPr baseColWidth="10" defaultRowHeight="16" x14ac:dyDescent="0.2"/>
  <cols>
    <col min="1" max="1" width="35" customWidth="1"/>
    <col min="2" max="14" width="13" customWidth="1"/>
  </cols>
  <sheetData>
    <row r="1" spans="1:14" ht="19" x14ac:dyDescent="0.25">
      <c r="A1" s="40" t="s">
        <v>69</v>
      </c>
    </row>
    <row r="2" spans="1:14" x14ac:dyDescent="0.2">
      <c r="A2" s="41" t="s">
        <v>70</v>
      </c>
    </row>
    <row r="4" spans="1:14" x14ac:dyDescent="0.2">
      <c r="A4" s="42" t="s">
        <v>71</v>
      </c>
      <c r="B4" s="5"/>
      <c r="C4" s="5"/>
      <c r="D4" s="5"/>
      <c r="E4" s="5"/>
    </row>
    <row r="5" spans="1:14" x14ac:dyDescent="0.2">
      <c r="A5" s="45" t="s">
        <v>72</v>
      </c>
      <c r="B5" s="46" t="s">
        <v>73</v>
      </c>
      <c r="C5" s="46" t="s">
        <v>74</v>
      </c>
      <c r="D5" s="46" t="s">
        <v>75</v>
      </c>
      <c r="E5" s="46" t="s">
        <v>76</v>
      </c>
    </row>
    <row r="6" spans="1:14" x14ac:dyDescent="0.2">
      <c r="A6" s="43" t="s">
        <v>77</v>
      </c>
      <c r="B6" s="47">
        <v>1</v>
      </c>
      <c r="C6" s="47">
        <v>1.08</v>
      </c>
      <c r="D6" s="47">
        <v>0.95</v>
      </c>
      <c r="E6" s="49" t="s">
        <v>78</v>
      </c>
    </row>
    <row r="7" spans="1:14" x14ac:dyDescent="0.2">
      <c r="A7" s="43" t="s">
        <v>79</v>
      </c>
      <c r="B7" s="47">
        <v>1</v>
      </c>
      <c r="C7" s="47">
        <v>0.95</v>
      </c>
      <c r="D7" s="47">
        <v>1.1000000000000001</v>
      </c>
      <c r="E7" s="49" t="s">
        <v>80</v>
      </c>
    </row>
    <row r="8" spans="1:14" x14ac:dyDescent="0.2">
      <c r="A8" s="43" t="s">
        <v>81</v>
      </c>
      <c r="B8" s="47">
        <v>1</v>
      </c>
      <c r="C8" s="47">
        <v>0.5</v>
      </c>
      <c r="D8" s="47">
        <v>2</v>
      </c>
      <c r="E8" s="49" t="s">
        <v>82</v>
      </c>
    </row>
    <row r="9" spans="1:14" x14ac:dyDescent="0.2">
      <c r="A9" s="43" t="s">
        <v>83</v>
      </c>
      <c r="B9" s="50">
        <v>0</v>
      </c>
      <c r="C9" s="50">
        <v>5.0000000000000001E-3</v>
      </c>
      <c r="D9" s="50">
        <v>-3.0000000000000001E-3</v>
      </c>
      <c r="E9" s="49" t="s">
        <v>84</v>
      </c>
    </row>
    <row r="11" spans="1:14" x14ac:dyDescent="0.2">
      <c r="A11" s="42" t="s">
        <v>85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17" thickBot="1" x14ac:dyDescent="0.25">
      <c r="A12" s="71" t="s">
        <v>86</v>
      </c>
      <c r="B12" s="72" t="s">
        <v>87</v>
      </c>
      <c r="C12" s="72" t="s">
        <v>88</v>
      </c>
      <c r="D12" s="72" t="s">
        <v>89</v>
      </c>
      <c r="E12" s="73" t="s">
        <v>90</v>
      </c>
      <c r="F12" s="72" t="s">
        <v>91</v>
      </c>
      <c r="G12" s="72" t="s">
        <v>92</v>
      </c>
      <c r="H12" s="72" t="s">
        <v>93</v>
      </c>
      <c r="I12" s="72" t="s">
        <v>94</v>
      </c>
      <c r="J12" s="72" t="s">
        <v>95</v>
      </c>
      <c r="K12" s="72" t="s">
        <v>96</v>
      </c>
      <c r="L12" s="72" t="s">
        <v>97</v>
      </c>
      <c r="M12" s="72" t="s">
        <v>98</v>
      </c>
      <c r="N12" s="74" t="s">
        <v>99</v>
      </c>
    </row>
    <row r="13" spans="1:14" x14ac:dyDescent="0.2">
      <c r="A13" s="44" t="s">
        <v>73</v>
      </c>
      <c r="B13" s="51">
        <f>Modelo!$G$6*$B$6*(1+$B$9)^0 - (Modelo!$G$9+Modelo!$G$10)*$B$7 - Modelo!$G$11*$B$8 - (Modelo!$G$6*$B$6*(1+$B$9)^0)*Supuestos!$B$22</f>
        <v>9270.8333333333321</v>
      </c>
      <c r="C13" s="54">
        <f>Modelo!$G$6*$B$6*(1+$B$9)^1 - (Modelo!$G$9+Modelo!$G$10)*$B$7 - Modelo!$G$11*$B$8 - (Modelo!$G$6*$B$6*(1+$B$9)^1)*Supuestos!$B$22</f>
        <v>9270.8333333333321</v>
      </c>
      <c r="D13" s="54">
        <f>Modelo!$G$6*$B$6*(1+$B$9)^2 - (Modelo!$G$9+Modelo!$G$10)*$B$7 - Modelo!$G$11*$B$8 - (Modelo!$G$6*$B$6*(1+$B$9)^2)*Supuestos!$B$22</f>
        <v>9270.8333333333321</v>
      </c>
      <c r="E13" s="54">
        <f>Modelo!$G$6*$B$6*(1+$B$9)^3 - (Modelo!$G$9+Modelo!$G$10)*$B$7 - Modelo!$G$11*$B$8 - (Modelo!$G$6*$B$6*(1+$B$9)^3)*Supuestos!$B$22</f>
        <v>9270.8333333333321</v>
      </c>
      <c r="F13" s="54">
        <f>Modelo!$G$6*$B$6*(1+$B$9)^4 - (Modelo!$G$9+Modelo!$G$10)*$B$7 - Modelo!$G$11*$B$8 - (Modelo!$G$6*$B$6*(1+$B$9)^4)*Supuestos!$B$22</f>
        <v>9270.8333333333321</v>
      </c>
      <c r="G13" s="54">
        <f>Modelo!$G$6*$B$6*(1+$B$9)^5 - (Modelo!$G$9+Modelo!$G$10)*$B$7 - Modelo!$G$11*$B$8 - (Modelo!$G$6*$B$6*(1+$B$9)^5)*Supuestos!$B$22</f>
        <v>9270.8333333333321</v>
      </c>
      <c r="H13" s="54">
        <f>Modelo!$G$6*$B$6*(1+$B$9)^6 - (Modelo!$G$9+Modelo!$G$10)*$B$7 - Modelo!$G$11*$B$8 - (Modelo!$G$6*$B$6*(1+$B$9)^6)*Supuestos!$B$22</f>
        <v>9270.8333333333321</v>
      </c>
      <c r="I13" s="54">
        <f>Modelo!$G$6*$B$6*(1+$B$9)^7 - (Modelo!$G$9+Modelo!$G$10)*$B$7 - Modelo!$G$11*$B$8 - (Modelo!$G$6*$B$6*(1+$B$9)^7)*Supuestos!$B$22</f>
        <v>9270.8333333333321</v>
      </c>
      <c r="J13" s="54">
        <f>Modelo!$G$6*$B$6*(1+$B$9)^8 - (Modelo!$G$9+Modelo!$G$10)*$B$7 - Modelo!$G$11*$B$8 - (Modelo!$G$6*$B$6*(1+$B$9)^8)*Supuestos!$B$22</f>
        <v>9270.8333333333321</v>
      </c>
      <c r="K13" s="54">
        <f>Modelo!$G$6*$B$6*(1+$B$9)^9 - (Modelo!$G$9+Modelo!$G$10)*$B$7 - Modelo!$G$11*$B$8 - (Modelo!$G$6*$B$6*(1+$B$9)^9)*Supuestos!$B$22</f>
        <v>9270.8333333333321</v>
      </c>
      <c r="L13" s="54">
        <f>Modelo!$G$6*$B$6*(1+$B$9)^10 - (Modelo!$G$9+Modelo!$G$10)*$B$7 - Modelo!$G$11*$B$8 - (Modelo!$G$6*$B$6*(1+$B$9)^10)*Supuestos!$B$22</f>
        <v>9270.8333333333321</v>
      </c>
      <c r="M13" s="54">
        <f>Modelo!$G$6*$B$6*(1+$B$9)^11 - (Modelo!$G$9+Modelo!$G$10)*$B$7 - Modelo!$G$11*$B$8 - (Modelo!$G$6*$B$6*(1+$B$9)^11)*Supuestos!$B$22</f>
        <v>9270.8333333333321</v>
      </c>
      <c r="N13" s="55">
        <f>SUM(B13:M13)</f>
        <v>111249.99999999996</v>
      </c>
    </row>
    <row r="14" spans="1:14" x14ac:dyDescent="0.2">
      <c r="A14" s="52" t="s">
        <v>74</v>
      </c>
      <c r="B14" s="51">
        <f>Modelo!$G$6*$C$6*(1+$C$9)^0 - (Modelo!$G$9+Modelo!$G$10)*$C$7 - Modelo!$G$11*$C$8 - (Modelo!$G$6*$C$6*(1+$C$9)^0)*Supuestos!$B$22</f>
        <v>20460.416666666664</v>
      </c>
      <c r="C14" s="54">
        <f>Modelo!$G$6*$C$6*(1+$C$9)^1 - (Modelo!$G$9+Modelo!$G$10)*$C$7 - Modelo!$G$11*$C$8 - (Modelo!$G$6*$C$6*(1+$C$9)^1)*Supuestos!$B$22</f>
        <v>20865.416666666653</v>
      </c>
      <c r="D14" s="54">
        <f>Modelo!$G$6*$C$6*(1+$C$9)^2 - (Modelo!$G$9+Modelo!$G$10)*$C$7 - Modelo!$G$11*$C$8 - (Modelo!$G$6*$C$6*(1+$C$9)^2)*Supuestos!$B$22</f>
        <v>21272.441666666644</v>
      </c>
      <c r="E14" s="54">
        <f>Modelo!$G$6*$C$6*(1+$C$9)^3 - (Modelo!$G$9+Modelo!$G$10)*$C$7 - Modelo!$G$11*$C$8 - (Modelo!$G$6*$C$6*(1+$C$9)^3)*Supuestos!$B$22</f>
        <v>21681.501791666637</v>
      </c>
      <c r="F14" s="54">
        <f>Modelo!$G$6*$C$6*(1+$C$9)^4 - (Modelo!$G$9+Modelo!$G$10)*$C$7 - Modelo!$G$11*$C$8 - (Modelo!$G$6*$C$6*(1+$C$9)^4)*Supuestos!$B$22</f>
        <v>22092.607217291617</v>
      </c>
      <c r="G14" s="54">
        <f>Modelo!$G$6*$C$6*(1+$C$9)^5 - (Modelo!$G$9+Modelo!$G$10)*$C$7 - Modelo!$G$11*$C$8 - (Modelo!$G$6*$C$6*(1+$C$9)^5)*Supuestos!$B$22</f>
        <v>22505.768170044725</v>
      </c>
      <c r="H14" s="54">
        <f>Modelo!$G$6*$C$6*(1+$C$9)^6 - (Modelo!$G$9+Modelo!$G$10)*$C$7 - Modelo!$G$11*$C$8 - (Modelo!$G$6*$C$6*(1+$C$9)^6)*Supuestos!$B$22</f>
        <v>22920.994927561602</v>
      </c>
      <c r="I14" s="54">
        <f>Modelo!$G$6*$C$6*(1+$C$9)^7 - (Modelo!$G$9+Modelo!$G$10)*$C$7 - Modelo!$G$11*$C$8 - (Modelo!$G$6*$C$6*(1+$C$9)^7)*Supuestos!$B$22</f>
        <v>23338.29781886606</v>
      </c>
      <c r="J14" s="54">
        <f>Modelo!$G$6*$C$6*(1+$C$9)^8 - (Modelo!$G$9+Modelo!$G$10)*$C$7 - Modelo!$G$11*$C$8 - (Modelo!$G$6*$C$6*(1+$C$9)^8)*Supuestos!$B$22</f>
        <v>23757.687224627058</v>
      </c>
      <c r="K14" s="54">
        <f>Modelo!$G$6*$C$6*(1+$C$9)^9 - (Modelo!$G$9+Modelo!$G$10)*$C$7 - Modelo!$G$11*$C$8 - (Modelo!$G$6*$C$6*(1+$C$9)^9)*Supuestos!$B$22</f>
        <v>24179.173577416856</v>
      </c>
      <c r="L14" s="54">
        <f>Modelo!$G$6*$C$6*(1+$C$9)^10 - (Modelo!$G$9+Modelo!$G$10)*$C$7 - Modelo!$G$11*$C$8 - (Modelo!$G$6*$C$6*(1+$C$9)^10)*Supuestos!$B$22</f>
        <v>24602.767361970586</v>
      </c>
      <c r="M14" s="54">
        <f>Modelo!$G$6*$C$6*(1+$C$9)^11 - (Modelo!$G$9+Modelo!$G$10)*$C$7 - Modelo!$G$11*$C$8 - (Modelo!$G$6*$C$6*(1+$C$9)^11)*Supuestos!$B$22</f>
        <v>25028.479115447102</v>
      </c>
      <c r="N14" s="55">
        <f>SUM(B14:M14)</f>
        <v>272705.55220489221</v>
      </c>
    </row>
    <row r="15" spans="1:14" x14ac:dyDescent="0.2">
      <c r="A15" s="53" t="s">
        <v>75</v>
      </c>
      <c r="B15" s="51">
        <f>Modelo!$G$6*$D$6*(1+$D$9)^0 - (Modelo!$G$9+Modelo!$G$10)*$D$7 - Modelo!$G$11*$D$8 - (Modelo!$G$6*$D$6*(1+$D$9)^0)*Supuestos!$B$22</f>
        <v>-4858.3333333333339</v>
      </c>
      <c r="C15" s="54">
        <f>Modelo!$G$6*$D$6*(1+$D$9)^1 - (Modelo!$G$9+Modelo!$G$10)*$D$7 - Modelo!$G$11*$D$8 - (Modelo!$G$6*$D$6*(1+$D$9)^1)*Supuestos!$B$22</f>
        <v>-5072.0833333333339</v>
      </c>
      <c r="D15" s="54">
        <f>Modelo!$G$6*$D$6*(1+$D$9)^2 - (Modelo!$G$9+Modelo!$G$10)*$D$7 - Modelo!$G$11*$D$8 - (Modelo!$G$6*$D$6*(1+$D$9)^2)*Supuestos!$B$22</f>
        <v>-5285.1920833333334</v>
      </c>
      <c r="E15" s="54">
        <f>Modelo!$G$6*$D$6*(1+$D$9)^3 - (Modelo!$G$9+Modelo!$G$10)*$D$7 - Modelo!$G$11*$D$8 - (Modelo!$G$6*$D$6*(1+$D$9)^3)*Supuestos!$B$22</f>
        <v>-5497.6615070833304</v>
      </c>
      <c r="F15" s="54">
        <f>Modelo!$G$6*$D$6*(1+$D$9)^4 - (Modelo!$G$9+Modelo!$G$10)*$D$7 - Modelo!$G$11*$D$8 - (Modelo!$G$6*$D$6*(1+$D$9)^4)*Supuestos!$B$22</f>
        <v>-5709.4935225620811</v>
      </c>
      <c r="G15" s="54">
        <f>Modelo!$G$6*$D$6*(1+$D$9)^5 - (Modelo!$G$9+Modelo!$G$10)*$D$7 - Modelo!$G$11*$D$8 - (Modelo!$G$6*$D$6*(1+$D$9)^5)*Supuestos!$B$22</f>
        <v>-5920.6900419943904</v>
      </c>
      <c r="H15" s="54">
        <f>Modelo!$G$6*$D$6*(1+$D$9)^6 - (Modelo!$G$9+Modelo!$G$10)*$D$7 - Modelo!$G$11*$D$8 - (Modelo!$G$6*$D$6*(1+$D$9)^6)*Supuestos!$B$22</f>
        <v>-6131.2529718684109</v>
      </c>
      <c r="I15" s="54">
        <f>Modelo!$G$6*$D$6*(1+$D$9)^7 - (Modelo!$G$9+Modelo!$G$10)*$D$7 - Modelo!$G$11*$D$8 - (Modelo!$G$6*$D$6*(1+$D$9)^7)*Supuestos!$B$22</f>
        <v>-6341.1842129527995</v>
      </c>
      <c r="J15" s="54">
        <f>Modelo!$G$6*$D$6*(1+$D$9)^8 - (Modelo!$G$9+Modelo!$G$10)*$D$7 - Modelo!$G$11*$D$8 - (Modelo!$G$6*$D$6*(1+$D$9)^8)*Supuestos!$B$22</f>
        <v>-6550.4856603139397</v>
      </c>
      <c r="K15" s="54">
        <f>Modelo!$G$6*$D$6*(1+$D$9)^9 - (Modelo!$G$9+Modelo!$G$10)*$D$7 - Modelo!$G$11*$D$8 - (Modelo!$G$6*$D$6*(1+$D$9)^9)*Supuestos!$B$22</f>
        <v>-6759.1592033330071</v>
      </c>
      <c r="L15" s="54">
        <f>Modelo!$G$6*$D$6*(1+$D$9)^10 - (Modelo!$G$9+Modelo!$G$10)*$D$7 - Modelo!$G$11*$D$8 - (Modelo!$G$6*$D$6*(1+$D$9)^10)*Supuestos!$B$22</f>
        <v>-6967.2067257229992</v>
      </c>
      <c r="M15" s="54">
        <f>Modelo!$G$6*$D$6*(1+$D$9)^11 - (Modelo!$G$9+Modelo!$G$10)*$D$7 - Modelo!$G$11*$D$8 - (Modelo!$G$6*$D$6*(1+$D$9)^11)*Supuestos!$B$22</f>
        <v>-7174.6301055458334</v>
      </c>
      <c r="N15" s="55">
        <f>SUM(B15:M15)</f>
        <v>-72267.372701376808</v>
      </c>
    </row>
    <row r="17" spans="1:14" x14ac:dyDescent="0.2">
      <c r="A17" s="56" t="s">
        <v>100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2">
      <c r="A18" s="8" t="s">
        <v>101</v>
      </c>
      <c r="B18" s="9" t="s">
        <v>87</v>
      </c>
      <c r="C18" s="9" t="s">
        <v>88</v>
      </c>
      <c r="D18" s="9" t="s">
        <v>89</v>
      </c>
      <c r="E18" s="9" t="s">
        <v>90</v>
      </c>
      <c r="F18" s="9" t="s">
        <v>91</v>
      </c>
      <c r="G18" s="9" t="s">
        <v>92</v>
      </c>
      <c r="H18" s="9" t="s">
        <v>93</v>
      </c>
      <c r="I18" s="9" t="s">
        <v>94</v>
      </c>
      <c r="J18" s="9" t="s">
        <v>95</v>
      </c>
      <c r="K18" s="9" t="s">
        <v>96</v>
      </c>
      <c r="L18" s="9" t="s">
        <v>97</v>
      </c>
      <c r="M18" s="9" t="s">
        <v>98</v>
      </c>
      <c r="N18" s="9" t="s">
        <v>99</v>
      </c>
    </row>
    <row r="19" spans="1:14" x14ac:dyDescent="0.2">
      <c r="A19" t="s">
        <v>14</v>
      </c>
      <c r="B19" s="51">
        <f>Modelo!$B$6*$B$6*(1+$B$9)^0 - (Modelo!$B$9+Modelo!$B$10)*$B$7 - Modelo!$B$11*$B$8 - (Modelo!$B$6*$B$6*(1+$B$9)^0)*Supuestos!$B$22</f>
        <v>1050.0000000000027</v>
      </c>
      <c r="C19" s="51">
        <f>Modelo!$B$6*$B$6*(1+$B$9)^1 - (Modelo!$B$9+Modelo!$B$10)*$B$7 - Modelo!$B$11*$B$8 - (Modelo!$B$6*$B$6*(1+$B$9)^1)*Supuestos!$B$22</f>
        <v>1050.0000000000027</v>
      </c>
      <c r="D19" s="51">
        <f>Modelo!$B$6*$B$6*(1+$B$9)^2 - (Modelo!$B$9+Modelo!$B$10)*$B$7 - Modelo!$B$11*$B$8 - (Modelo!$B$6*$B$6*(1+$B$9)^2)*Supuestos!$B$22</f>
        <v>1050.0000000000027</v>
      </c>
      <c r="E19" s="51">
        <f>Modelo!$B$6*$B$6*(1+$B$9)^3 - (Modelo!$B$9+Modelo!$B$10)*$B$7 - Modelo!$B$11*$B$8 - (Modelo!$B$6*$B$6*(1+$B$9)^3)*Supuestos!$B$22</f>
        <v>1050.0000000000027</v>
      </c>
      <c r="F19" s="51">
        <f>Modelo!$B$6*$B$6*(1+$B$9)^4 - (Modelo!$B$9+Modelo!$B$10)*$B$7 - Modelo!$B$11*$B$8 - (Modelo!$B$6*$B$6*(1+$B$9)^4)*Supuestos!$B$22</f>
        <v>1050.0000000000027</v>
      </c>
      <c r="G19" s="51">
        <f>Modelo!$B$6*$B$6*(1+$B$9)^5 - (Modelo!$B$9+Modelo!$B$10)*$B$7 - Modelo!$B$11*$B$8 - (Modelo!$B$6*$B$6*(1+$B$9)^5)*Supuestos!$B$22</f>
        <v>1050.0000000000027</v>
      </c>
      <c r="H19" s="51">
        <f>Modelo!$B$6*$B$6*(1+$B$9)^6 - (Modelo!$B$9+Modelo!$B$10)*$B$7 - Modelo!$B$11*$B$8 - (Modelo!$B$6*$B$6*(1+$B$9)^6)*Supuestos!$B$22</f>
        <v>1050.0000000000027</v>
      </c>
      <c r="I19" s="51">
        <f>Modelo!$B$6*$B$6*(1+$B$9)^7 - (Modelo!$B$9+Modelo!$B$10)*$B$7 - Modelo!$B$11*$B$8 - (Modelo!$B$6*$B$6*(1+$B$9)^7)*Supuestos!$B$22</f>
        <v>1050.0000000000027</v>
      </c>
      <c r="J19" s="51">
        <f>Modelo!$B$6*$B$6*(1+$B$9)^8 - (Modelo!$B$9+Modelo!$B$10)*$B$7 - Modelo!$B$11*$B$8 - (Modelo!$B$6*$B$6*(1+$B$9)^8)*Supuestos!$B$22</f>
        <v>1050.0000000000027</v>
      </c>
      <c r="K19" s="51">
        <f>Modelo!$B$6*$B$6*(1+$B$9)^9 - (Modelo!$B$9+Modelo!$B$10)*$B$7 - Modelo!$B$11*$B$8 - (Modelo!$B$6*$B$6*(1+$B$9)^9)*Supuestos!$B$22</f>
        <v>1050.0000000000027</v>
      </c>
      <c r="L19" s="51">
        <f>Modelo!$B$6*$B$6*(1+$B$9)^10 - (Modelo!$B$9+Modelo!$B$10)*$B$7 - Modelo!$B$11*$B$8 - (Modelo!$B$6*$B$6*(1+$B$9)^10)*Supuestos!$B$22</f>
        <v>1050.0000000000027</v>
      </c>
      <c r="M19" s="51">
        <f>Modelo!$B$6*$B$6*(1+$B$9)^11 - (Modelo!$B$9+Modelo!$B$10)*$B$7 - Modelo!$B$11*$B$8 - (Modelo!$B$6*$B$6*(1+$B$9)^11)*Supuestos!$B$22</f>
        <v>1050.0000000000027</v>
      </c>
      <c r="N19" s="51">
        <f>SUM(B19:M19)</f>
        <v>12600.000000000036</v>
      </c>
    </row>
    <row r="20" spans="1:14" x14ac:dyDescent="0.2">
      <c r="A20" t="s">
        <v>15</v>
      </c>
      <c r="B20" s="51">
        <f>Modelo!$C$6*$B$6*(1+$B$9)^0 - (Modelo!$C$9+Modelo!$C$10)*$B$7 - Modelo!$C$11*$B$8 - (Modelo!$C$6*$B$6*(1+$B$9)^0)*Supuestos!$B$22</f>
        <v>2750</v>
      </c>
      <c r="C20" s="51">
        <f>Modelo!$C$6*$B$6*(1+$B$9)^1 - (Modelo!$C$9+Modelo!$C$10)*$B$7 - Modelo!$C$11*$B$8 - (Modelo!$C$6*$B$6*(1+$B$9)^1)*Supuestos!$B$22</f>
        <v>2750</v>
      </c>
      <c r="D20" s="51">
        <f>Modelo!$C$6*$B$6*(1+$B$9)^2 - (Modelo!$C$9+Modelo!$C$10)*$B$7 - Modelo!$C$11*$B$8 - (Modelo!$C$6*$B$6*(1+$B$9)^2)*Supuestos!$B$22</f>
        <v>2750</v>
      </c>
      <c r="E20" s="51">
        <f>Modelo!$C$6*$B$6*(1+$B$9)^3 - (Modelo!$C$9+Modelo!$C$10)*$B$7 - Modelo!$C$11*$B$8 - (Modelo!$C$6*$B$6*(1+$B$9)^3)*Supuestos!$B$22</f>
        <v>2750</v>
      </c>
      <c r="F20" s="51">
        <f>Modelo!$C$6*$B$6*(1+$B$9)^4 - (Modelo!$C$9+Modelo!$C$10)*$B$7 - Modelo!$C$11*$B$8 - (Modelo!$C$6*$B$6*(1+$B$9)^4)*Supuestos!$B$22</f>
        <v>2750</v>
      </c>
      <c r="G20" s="51">
        <f>Modelo!$C$6*$B$6*(1+$B$9)^5 - (Modelo!$C$9+Modelo!$C$10)*$B$7 - Modelo!$C$11*$B$8 - (Modelo!$C$6*$B$6*(1+$B$9)^5)*Supuestos!$B$22</f>
        <v>2750</v>
      </c>
      <c r="H20" s="51">
        <f>Modelo!$C$6*$B$6*(1+$B$9)^6 - (Modelo!$C$9+Modelo!$C$10)*$B$7 - Modelo!$C$11*$B$8 - (Modelo!$C$6*$B$6*(1+$B$9)^6)*Supuestos!$B$22</f>
        <v>2750</v>
      </c>
      <c r="I20" s="51">
        <f>Modelo!$C$6*$B$6*(1+$B$9)^7 - (Modelo!$C$9+Modelo!$C$10)*$B$7 - Modelo!$C$11*$B$8 - (Modelo!$C$6*$B$6*(1+$B$9)^7)*Supuestos!$B$22</f>
        <v>2750</v>
      </c>
      <c r="J20" s="51">
        <f>Modelo!$C$6*$B$6*(1+$B$9)^8 - (Modelo!$C$9+Modelo!$C$10)*$B$7 - Modelo!$C$11*$B$8 - (Modelo!$C$6*$B$6*(1+$B$9)^8)*Supuestos!$B$22</f>
        <v>2750</v>
      </c>
      <c r="K20" s="51">
        <f>Modelo!$C$6*$B$6*(1+$B$9)^9 - (Modelo!$C$9+Modelo!$C$10)*$B$7 - Modelo!$C$11*$B$8 - (Modelo!$C$6*$B$6*(1+$B$9)^9)*Supuestos!$B$22</f>
        <v>2750</v>
      </c>
      <c r="L20" s="51">
        <f>Modelo!$C$6*$B$6*(1+$B$9)^10 - (Modelo!$C$9+Modelo!$C$10)*$B$7 - Modelo!$C$11*$B$8 - (Modelo!$C$6*$B$6*(1+$B$9)^10)*Supuestos!$B$22</f>
        <v>2750</v>
      </c>
      <c r="M20" s="51">
        <f>Modelo!$C$6*$B$6*(1+$B$9)^11 - (Modelo!$C$9+Modelo!$C$10)*$B$7 - Modelo!$C$11*$B$8 - (Modelo!$C$6*$B$6*(1+$B$9)^11)*Supuestos!$B$22</f>
        <v>2750</v>
      </c>
      <c r="N20" s="51">
        <f>SUM(B20:M20)</f>
        <v>33000</v>
      </c>
    </row>
    <row r="21" spans="1:14" x14ac:dyDescent="0.2">
      <c r="A21" t="s">
        <v>16</v>
      </c>
      <c r="B21" s="51">
        <f>Modelo!$D$6*$B$6*(1+$B$9)^0 - (Modelo!$D$9+Modelo!$D$10)*$B$7 - Modelo!$D$11*$B$8 - (Modelo!$D$6*$B$6*(1+$B$9)^0)*Supuestos!$B$22</f>
        <v>1737.5000000000005</v>
      </c>
      <c r="C21" s="51">
        <f>Modelo!$D$6*$B$6*(1+$B$9)^1 - (Modelo!$D$9+Modelo!$D$10)*$B$7 - Modelo!$D$11*$B$8 - (Modelo!$D$6*$B$6*(1+$B$9)^1)*Supuestos!$B$22</f>
        <v>1737.5000000000005</v>
      </c>
      <c r="D21" s="51">
        <f>Modelo!$D$6*$B$6*(1+$B$9)^2 - (Modelo!$D$9+Modelo!$D$10)*$B$7 - Modelo!$D$11*$B$8 - (Modelo!$D$6*$B$6*(1+$B$9)^2)*Supuestos!$B$22</f>
        <v>1737.5000000000005</v>
      </c>
      <c r="E21" s="51">
        <f>Modelo!$D$6*$B$6*(1+$B$9)^3 - (Modelo!$D$9+Modelo!$D$10)*$B$7 - Modelo!$D$11*$B$8 - (Modelo!$D$6*$B$6*(1+$B$9)^3)*Supuestos!$B$22</f>
        <v>1737.5000000000005</v>
      </c>
      <c r="F21" s="51">
        <f>Modelo!$D$6*$B$6*(1+$B$9)^4 - (Modelo!$D$9+Modelo!$D$10)*$B$7 - Modelo!$D$11*$B$8 - (Modelo!$D$6*$B$6*(1+$B$9)^4)*Supuestos!$B$22</f>
        <v>1737.5000000000005</v>
      </c>
      <c r="G21" s="51">
        <f>Modelo!$D$6*$B$6*(1+$B$9)^5 - (Modelo!$D$9+Modelo!$D$10)*$B$7 - Modelo!$D$11*$B$8 - (Modelo!$D$6*$B$6*(1+$B$9)^5)*Supuestos!$B$22</f>
        <v>1737.5000000000005</v>
      </c>
      <c r="H21" s="51">
        <f>Modelo!$D$6*$B$6*(1+$B$9)^6 - (Modelo!$D$9+Modelo!$D$10)*$B$7 - Modelo!$D$11*$B$8 - (Modelo!$D$6*$B$6*(1+$B$9)^6)*Supuestos!$B$22</f>
        <v>1737.5000000000005</v>
      </c>
      <c r="I21" s="51">
        <f>Modelo!$D$6*$B$6*(1+$B$9)^7 - (Modelo!$D$9+Modelo!$D$10)*$B$7 - Modelo!$D$11*$B$8 - (Modelo!$D$6*$B$6*(1+$B$9)^7)*Supuestos!$B$22</f>
        <v>1737.5000000000005</v>
      </c>
      <c r="J21" s="51">
        <f>Modelo!$D$6*$B$6*(1+$B$9)^8 - (Modelo!$D$9+Modelo!$D$10)*$B$7 - Modelo!$D$11*$B$8 - (Modelo!$D$6*$B$6*(1+$B$9)^8)*Supuestos!$B$22</f>
        <v>1737.5000000000005</v>
      </c>
      <c r="K21" s="51">
        <f>Modelo!$D$6*$B$6*(1+$B$9)^9 - (Modelo!$D$9+Modelo!$D$10)*$B$7 - Modelo!$D$11*$B$8 - (Modelo!$D$6*$B$6*(1+$B$9)^9)*Supuestos!$B$22</f>
        <v>1737.5000000000005</v>
      </c>
      <c r="L21" s="51">
        <f>Modelo!$D$6*$B$6*(1+$B$9)^10 - (Modelo!$D$9+Modelo!$D$10)*$B$7 - Modelo!$D$11*$B$8 - (Modelo!$D$6*$B$6*(1+$B$9)^10)*Supuestos!$B$22</f>
        <v>1737.5000000000005</v>
      </c>
      <c r="M21" s="51">
        <f>Modelo!$D$6*$B$6*(1+$B$9)^11 - (Modelo!$D$9+Modelo!$D$10)*$B$7 - Modelo!$D$11*$B$8 - (Modelo!$D$6*$B$6*(1+$B$9)^11)*Supuestos!$B$22</f>
        <v>1737.5000000000005</v>
      </c>
      <c r="N21" s="51">
        <f>SUM(B21:M21)</f>
        <v>20850.000000000004</v>
      </c>
    </row>
    <row r="22" spans="1:14" x14ac:dyDescent="0.2">
      <c r="A22" t="s">
        <v>17</v>
      </c>
      <c r="B22" s="51">
        <f>Modelo!$E$6*$B$6*(1+$B$9)^0 - (Modelo!$E$9+Modelo!$E$10)*$B$7 - Modelo!$E$11*$B$8 - (Modelo!$E$6*$B$6*(1+$B$9)^0)*Supuestos!$B$22</f>
        <v>1041.6666666666677</v>
      </c>
      <c r="C22" s="51">
        <f>Modelo!$E$6*$B$6*(1+$B$9)^1 - (Modelo!$E$9+Modelo!$E$10)*$B$7 - Modelo!$E$11*$B$8 - (Modelo!$E$6*$B$6*(1+$B$9)^1)*Supuestos!$B$22</f>
        <v>1041.6666666666677</v>
      </c>
      <c r="D22" s="51">
        <f>Modelo!$E$6*$B$6*(1+$B$9)^2 - (Modelo!$E$9+Modelo!$E$10)*$B$7 - Modelo!$E$11*$B$8 - (Modelo!$E$6*$B$6*(1+$B$9)^2)*Supuestos!$B$22</f>
        <v>1041.6666666666677</v>
      </c>
      <c r="E22" s="51">
        <f>Modelo!$E$6*$B$6*(1+$B$9)^3 - (Modelo!$E$9+Modelo!$E$10)*$B$7 - Modelo!$E$11*$B$8 - (Modelo!$E$6*$B$6*(1+$B$9)^3)*Supuestos!$B$22</f>
        <v>1041.6666666666677</v>
      </c>
      <c r="F22" s="51">
        <f>Modelo!$E$6*$B$6*(1+$B$9)^4 - (Modelo!$E$9+Modelo!$E$10)*$B$7 - Modelo!$E$11*$B$8 - (Modelo!$E$6*$B$6*(1+$B$9)^4)*Supuestos!$B$22</f>
        <v>1041.6666666666677</v>
      </c>
      <c r="G22" s="51">
        <f>Modelo!$E$6*$B$6*(1+$B$9)^5 - (Modelo!$E$9+Modelo!$E$10)*$B$7 - Modelo!$E$11*$B$8 - (Modelo!$E$6*$B$6*(1+$B$9)^5)*Supuestos!$B$22</f>
        <v>1041.6666666666677</v>
      </c>
      <c r="H22" s="51">
        <f>Modelo!$E$6*$B$6*(1+$B$9)^6 - (Modelo!$E$9+Modelo!$E$10)*$B$7 - Modelo!$E$11*$B$8 - (Modelo!$E$6*$B$6*(1+$B$9)^6)*Supuestos!$B$22</f>
        <v>1041.6666666666677</v>
      </c>
      <c r="I22" s="51">
        <f>Modelo!$E$6*$B$6*(1+$B$9)^7 - (Modelo!$E$9+Modelo!$E$10)*$B$7 - Modelo!$E$11*$B$8 - (Modelo!$E$6*$B$6*(1+$B$9)^7)*Supuestos!$B$22</f>
        <v>1041.6666666666677</v>
      </c>
      <c r="J22" s="51">
        <f>Modelo!$E$6*$B$6*(1+$B$9)^8 - (Modelo!$E$9+Modelo!$E$10)*$B$7 - Modelo!$E$11*$B$8 - (Modelo!$E$6*$B$6*(1+$B$9)^8)*Supuestos!$B$22</f>
        <v>1041.6666666666677</v>
      </c>
      <c r="K22" s="51">
        <f>Modelo!$E$6*$B$6*(1+$B$9)^9 - (Modelo!$E$9+Modelo!$E$10)*$B$7 - Modelo!$E$11*$B$8 - (Modelo!$E$6*$B$6*(1+$B$9)^9)*Supuestos!$B$22</f>
        <v>1041.6666666666677</v>
      </c>
      <c r="L22" s="51">
        <f>Modelo!$E$6*$B$6*(1+$B$9)^10 - (Modelo!$E$9+Modelo!$E$10)*$B$7 - Modelo!$E$11*$B$8 - (Modelo!$E$6*$B$6*(1+$B$9)^10)*Supuestos!$B$22</f>
        <v>1041.6666666666677</v>
      </c>
      <c r="M22" s="51">
        <f>Modelo!$E$6*$B$6*(1+$B$9)^11 - (Modelo!$E$9+Modelo!$E$10)*$B$7 - Modelo!$E$11*$B$8 - (Modelo!$E$6*$B$6*(1+$B$9)^11)*Supuestos!$B$22</f>
        <v>1041.6666666666677</v>
      </c>
      <c r="N22" s="51">
        <f>SUM(B22:M22)</f>
        <v>12500.000000000013</v>
      </c>
    </row>
    <row r="23" spans="1:14" ht="17" thickBot="1" x14ac:dyDescent="0.25">
      <c r="A23" t="s">
        <v>18</v>
      </c>
      <c r="B23" s="51">
        <f>Modelo!$F$6*$B$6*(1+$B$9)^0 - (Modelo!$F$9+Modelo!$F$10)*$B$7 - Modelo!$F$11*$B$8 - (Modelo!$F$6*$B$6*(1+$B$9)^0)*Supuestos!$B$22</f>
        <v>2691.6666666666679</v>
      </c>
      <c r="C23" s="51">
        <f>Modelo!$F$6*$B$6*(1+$B$9)^1 - (Modelo!$F$9+Modelo!$F$10)*$B$7 - Modelo!$F$11*$B$8 - (Modelo!$F$6*$B$6*(1+$B$9)^1)*Supuestos!$B$22</f>
        <v>2691.6666666666679</v>
      </c>
      <c r="D23" s="51">
        <f>Modelo!$F$6*$B$6*(1+$B$9)^2 - (Modelo!$F$9+Modelo!$F$10)*$B$7 - Modelo!$F$11*$B$8 - (Modelo!$F$6*$B$6*(1+$B$9)^2)*Supuestos!$B$22</f>
        <v>2691.6666666666679</v>
      </c>
      <c r="E23" s="51">
        <f>Modelo!$F$6*$B$6*(1+$B$9)^3 - (Modelo!$F$9+Modelo!$F$10)*$B$7 - Modelo!$F$11*$B$8 - (Modelo!$F$6*$B$6*(1+$B$9)^3)*Supuestos!$B$22</f>
        <v>2691.6666666666679</v>
      </c>
      <c r="F23" s="51">
        <f>Modelo!$F$6*$B$6*(1+$B$9)^4 - (Modelo!$F$9+Modelo!$F$10)*$B$7 - Modelo!$F$11*$B$8 - (Modelo!$F$6*$B$6*(1+$B$9)^4)*Supuestos!$B$22</f>
        <v>2691.6666666666679</v>
      </c>
      <c r="G23" s="51">
        <f>Modelo!$F$6*$B$6*(1+$B$9)^5 - (Modelo!$F$9+Modelo!$F$10)*$B$7 - Modelo!$F$11*$B$8 - (Modelo!$F$6*$B$6*(1+$B$9)^5)*Supuestos!$B$22</f>
        <v>2691.6666666666679</v>
      </c>
      <c r="H23" s="51">
        <f>Modelo!$F$6*$B$6*(1+$B$9)^6 - (Modelo!$F$9+Modelo!$F$10)*$B$7 - Modelo!$F$11*$B$8 - (Modelo!$F$6*$B$6*(1+$B$9)^6)*Supuestos!$B$22</f>
        <v>2691.6666666666679</v>
      </c>
      <c r="I23" s="51">
        <f>Modelo!$F$6*$B$6*(1+$B$9)^7 - (Modelo!$F$9+Modelo!$F$10)*$B$7 - Modelo!$F$11*$B$8 - (Modelo!$F$6*$B$6*(1+$B$9)^7)*Supuestos!$B$22</f>
        <v>2691.6666666666679</v>
      </c>
      <c r="J23" s="51">
        <f>Modelo!$F$6*$B$6*(1+$B$9)^8 - (Modelo!$F$9+Modelo!$F$10)*$B$7 - Modelo!$F$11*$B$8 - (Modelo!$F$6*$B$6*(1+$B$9)^8)*Supuestos!$B$22</f>
        <v>2691.6666666666679</v>
      </c>
      <c r="K23" s="51">
        <f>Modelo!$F$6*$B$6*(1+$B$9)^9 - (Modelo!$F$9+Modelo!$F$10)*$B$7 - Modelo!$F$11*$B$8 - (Modelo!$F$6*$B$6*(1+$B$9)^9)*Supuestos!$B$22</f>
        <v>2691.6666666666679</v>
      </c>
      <c r="L23" s="51">
        <f>Modelo!$F$6*$B$6*(1+$B$9)^10 - (Modelo!$F$9+Modelo!$F$10)*$B$7 - Modelo!$F$11*$B$8 - (Modelo!$F$6*$B$6*(1+$B$9)^10)*Supuestos!$B$22</f>
        <v>2691.6666666666679</v>
      </c>
      <c r="M23" s="51">
        <f>Modelo!$F$6*$B$6*(1+$B$9)^11 - (Modelo!$F$9+Modelo!$F$10)*$B$7 - Modelo!$F$11*$B$8 - (Modelo!$F$6*$B$6*(1+$B$9)^11)*Supuestos!$B$22</f>
        <v>2691.6666666666679</v>
      </c>
      <c r="N23" s="51">
        <f>SUM(B23:M23)</f>
        <v>32300.000000000015</v>
      </c>
    </row>
    <row r="24" spans="1:14" x14ac:dyDescent="0.2">
      <c r="A24" s="57" t="s">
        <v>102</v>
      </c>
      <c r="B24" s="58">
        <f>SUM(B19:B23)</f>
        <v>9270.8333333333394</v>
      </c>
      <c r="C24" s="58">
        <f>SUM(C19:C23)</f>
        <v>9270.8333333333394</v>
      </c>
      <c r="D24" s="58">
        <f>SUM(D19:D23)</f>
        <v>9270.8333333333394</v>
      </c>
      <c r="E24" s="58">
        <f>SUM(E19:E23)</f>
        <v>9270.8333333333394</v>
      </c>
      <c r="F24" s="58">
        <f>SUM(F19:F23)</f>
        <v>9270.8333333333394</v>
      </c>
      <c r="G24" s="58">
        <f>SUM(G19:G23)</f>
        <v>9270.8333333333394</v>
      </c>
      <c r="H24" s="58">
        <f>SUM(H19:H23)</f>
        <v>9270.8333333333394</v>
      </c>
      <c r="I24" s="58">
        <f>SUM(I19:I23)</f>
        <v>9270.8333333333394</v>
      </c>
      <c r="J24" s="58">
        <f>SUM(J19:J23)</f>
        <v>9270.8333333333394</v>
      </c>
      <c r="K24" s="58">
        <f>SUM(K19:K23)</f>
        <v>9270.8333333333394</v>
      </c>
      <c r="L24" s="58">
        <f>SUM(L19:L23)</f>
        <v>9270.8333333333394</v>
      </c>
      <c r="M24" s="58">
        <f>SUM(M19:M23)</f>
        <v>9270.8333333333394</v>
      </c>
      <c r="N24" s="58">
        <f>SUM(B24:M24)</f>
        <v>111250.0000000001</v>
      </c>
    </row>
    <row r="26" spans="1:14" x14ac:dyDescent="0.2">
      <c r="A26" s="22" t="s">
        <v>103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1:14" x14ac:dyDescent="0.2">
      <c r="A27" s="8" t="s">
        <v>101</v>
      </c>
      <c r="B27" s="9" t="s">
        <v>87</v>
      </c>
      <c r="C27" s="9" t="s">
        <v>88</v>
      </c>
      <c r="D27" s="9" t="s">
        <v>89</v>
      </c>
      <c r="E27" s="9" t="s">
        <v>90</v>
      </c>
      <c r="F27" s="9" t="s">
        <v>91</v>
      </c>
      <c r="G27" s="9" t="s">
        <v>92</v>
      </c>
      <c r="H27" s="9" t="s">
        <v>93</v>
      </c>
      <c r="I27" s="9" t="s">
        <v>94</v>
      </c>
      <c r="J27" s="9" t="s">
        <v>95</v>
      </c>
      <c r="K27" s="9" t="s">
        <v>96</v>
      </c>
      <c r="L27" s="9" t="s">
        <v>97</v>
      </c>
      <c r="M27" s="9" t="s">
        <v>98</v>
      </c>
      <c r="N27" s="9" t="s">
        <v>99</v>
      </c>
    </row>
    <row r="28" spans="1:14" x14ac:dyDescent="0.2">
      <c r="A28" t="s">
        <v>14</v>
      </c>
      <c r="B28" s="51">
        <f>Modelo!$B$6*$C$6*(1+$C$9)^0 - (Modelo!$B$9+Modelo!$B$10)*$C$7 - Modelo!$B$11*$C$8 - (Modelo!$B$6*$C$6*(1+$C$9)^0)*Supuestos!$B$22</f>
        <v>5737.5000000000027</v>
      </c>
      <c r="C28" s="51">
        <f>Modelo!$B$6*$C$6*(1+$C$9)^1 - (Modelo!$B$9+Modelo!$B$10)*$C$7 - Modelo!$B$11*$C$8 - (Modelo!$B$6*$C$6*(1+$C$9)^1)*Supuestos!$B$22</f>
        <v>5899.4999999999964</v>
      </c>
      <c r="D28" s="51">
        <f>Modelo!$B$6*$C$6*(1+$C$9)^2 - (Modelo!$B$9+Modelo!$B$10)*$C$7 - Modelo!$B$11*$C$8 - (Modelo!$B$6*$C$6*(1+$C$9)^2)*Supuestos!$B$22</f>
        <v>6062.309999999994</v>
      </c>
      <c r="E28" s="51">
        <f>Modelo!$B$6*$C$6*(1+$C$9)^3 - (Modelo!$B$9+Modelo!$B$10)*$C$7 - Modelo!$B$11*$C$8 - (Modelo!$B$6*$C$6*(1+$C$9)^3)*Supuestos!$B$22</f>
        <v>6225.9340499999907</v>
      </c>
      <c r="F28" s="51">
        <f>Modelo!$B$6*$C$6*(1+$C$9)^4 - (Modelo!$B$9+Modelo!$B$10)*$C$7 - Modelo!$B$11*$C$8 - (Modelo!$B$6*$C$6*(1+$C$9)^4)*Supuestos!$B$22</f>
        <v>6390.3762202499802</v>
      </c>
      <c r="G28" s="51">
        <f>Modelo!$B$6*$C$6*(1+$C$9)^5 - (Modelo!$B$9+Modelo!$B$10)*$C$7 - Modelo!$B$11*$C$8 - (Modelo!$B$6*$C$6*(1+$C$9)^5)*Supuestos!$B$22</f>
        <v>6555.640601351226</v>
      </c>
      <c r="H28" s="51">
        <f>Modelo!$B$6*$C$6*(1+$C$9)^6 - (Modelo!$B$9+Modelo!$B$10)*$C$7 - Modelo!$B$11*$C$8 - (Modelo!$B$6*$C$6*(1+$C$9)^6)*Supuestos!$B$22</f>
        <v>6721.7313043579779</v>
      </c>
      <c r="I28" s="51">
        <f>Modelo!$B$6*$C$6*(1+$C$9)^7 - (Modelo!$B$9+Modelo!$B$10)*$C$7 - Modelo!$B$11*$C$8 - (Modelo!$B$6*$C$6*(1+$C$9)^7)*Supuestos!$B$22</f>
        <v>6888.652460879759</v>
      </c>
      <c r="J28" s="51">
        <f>Modelo!$B$6*$C$6*(1+$C$9)^8 - (Modelo!$B$9+Modelo!$B$10)*$C$7 - Modelo!$B$11*$C$8 - (Modelo!$B$6*$C$6*(1+$C$9)^8)*Supuestos!$B$22</f>
        <v>7056.4082231841603</v>
      </c>
      <c r="K28" s="51">
        <f>Modelo!$B$6*$C$6*(1+$C$9)^9 - (Modelo!$B$9+Modelo!$B$10)*$C$7 - Modelo!$B$11*$C$8 - (Modelo!$B$6*$C$6*(1+$C$9)^9)*Supuestos!$B$22</f>
        <v>7225.0027643000794</v>
      </c>
      <c r="L28" s="51">
        <f>Modelo!$B$6*$C$6*(1+$C$9)^10 - (Modelo!$B$9+Modelo!$B$10)*$C$7 - Modelo!$B$11*$C$8 - (Modelo!$B$6*$C$6*(1+$C$9)^10)*Supuestos!$B$22</f>
        <v>7394.4402781215704</v>
      </c>
      <c r="M28" s="51">
        <f>Modelo!$B$6*$C$6*(1+$C$9)^11 - (Modelo!$B$9+Modelo!$B$10)*$C$7 - Modelo!$B$11*$C$8 - (Modelo!$B$6*$C$6*(1+$C$9)^11)*Supuestos!$B$22</f>
        <v>7564.7249795121752</v>
      </c>
      <c r="N28" s="51">
        <f>SUM(B28:M28)</f>
        <v>79722.22088195692</v>
      </c>
    </row>
    <row r="29" spans="1:14" x14ac:dyDescent="0.2">
      <c r="A29" t="s">
        <v>15</v>
      </c>
      <c r="B29" s="51">
        <f>Modelo!$C$6*$C$6*(1+$C$9)^0 - (Modelo!$C$9+Modelo!$C$10)*$C$7 - Modelo!$C$11*$C$8 - (Modelo!$C$6*$C$6*(1+$C$9)^0)*Supuestos!$B$22</f>
        <v>5826.6666666666679</v>
      </c>
      <c r="C29" s="51">
        <f>Modelo!$C$6*$C$6*(1+$C$9)^1 - (Modelo!$C$9+Modelo!$C$10)*$C$7 - Modelo!$C$11*$C$8 - (Modelo!$C$6*$C$6*(1+$C$9)^1)*Supuestos!$B$22</f>
        <v>5927.4666666666653</v>
      </c>
      <c r="D29" s="51">
        <f>Modelo!$C$6*$C$6*(1+$C$9)^2 - (Modelo!$C$9+Modelo!$C$10)*$C$7 - Modelo!$C$11*$C$8 - (Modelo!$C$6*$C$6*(1+$C$9)^2)*Supuestos!$B$22</f>
        <v>6028.7706666666636</v>
      </c>
      <c r="E29" s="51">
        <f>Modelo!$C$6*$C$6*(1+$C$9)^3 - (Modelo!$C$9+Modelo!$C$10)*$C$7 - Modelo!$C$11*$C$8 - (Modelo!$C$6*$C$6*(1+$C$9)^3)*Supuestos!$B$22</f>
        <v>6130.5811866666591</v>
      </c>
      <c r="F29" s="51">
        <f>Modelo!$C$6*$C$6*(1+$C$9)^4 - (Modelo!$C$9+Modelo!$C$10)*$C$7 - Modelo!$C$11*$C$8 - (Modelo!$C$6*$C$6*(1+$C$9)^4)*Supuestos!$B$22</f>
        <v>6232.9007592666539</v>
      </c>
      <c r="G29" s="51">
        <f>Modelo!$C$6*$C$6*(1+$C$9)^5 - (Modelo!$C$9+Modelo!$C$10)*$C$7 - Modelo!$C$11*$C$8 - (Modelo!$C$6*$C$6*(1+$C$9)^5)*Supuestos!$B$22</f>
        <v>6335.7319297296517</v>
      </c>
      <c r="H29" s="51">
        <f>Modelo!$C$6*$C$6*(1+$C$9)^6 - (Modelo!$C$9+Modelo!$C$10)*$C$7 - Modelo!$C$11*$C$8 - (Modelo!$C$6*$C$6*(1+$C$9)^6)*Supuestos!$B$22</f>
        <v>6439.0772560449632</v>
      </c>
      <c r="I29" s="51">
        <f>Modelo!$C$6*$C$6*(1+$C$9)^7 - (Modelo!$C$9+Modelo!$C$10)*$C$7 - Modelo!$C$11*$C$8 - (Modelo!$C$6*$C$6*(1+$C$9)^7)*Supuestos!$B$22</f>
        <v>6542.9393089918531</v>
      </c>
      <c r="J29" s="51">
        <f>Modelo!$C$6*$C$6*(1+$C$9)^8 - (Modelo!$C$9+Modelo!$C$10)*$C$7 - Modelo!$C$11*$C$8 - (Modelo!$C$6*$C$6*(1+$C$9)^8)*Supuestos!$B$22</f>
        <v>6647.3206722034747</v>
      </c>
      <c r="K29" s="51">
        <f>Modelo!$C$6*$C$6*(1+$C$9)^9 - (Modelo!$C$9+Modelo!$C$10)*$C$7 - Modelo!$C$11*$C$8 - (Modelo!$C$6*$C$6*(1+$C$9)^9)*Supuestos!$B$22</f>
        <v>6752.2239422311595</v>
      </c>
      <c r="L29" s="51">
        <f>Modelo!$C$6*$C$6*(1+$C$9)^10 - (Modelo!$C$9+Modelo!$C$10)*$C$7 - Modelo!$C$11*$C$8 - (Modelo!$C$6*$C$6*(1+$C$9)^10)*Supuestos!$B$22</f>
        <v>6857.6517286089766</v>
      </c>
      <c r="M29" s="51">
        <f>Modelo!$C$6*$C$6*(1+$C$9)^11 - (Modelo!$C$9+Modelo!$C$10)*$C$7 - Modelo!$C$11*$C$8 - (Modelo!$C$6*$C$6*(1+$C$9)^11)*Supuestos!$B$22</f>
        <v>6963.6066539186868</v>
      </c>
      <c r="N29" s="51">
        <f>SUM(B29:M29)</f>
        <v>76684.937437662069</v>
      </c>
    </row>
    <row r="30" spans="1:14" x14ac:dyDescent="0.2">
      <c r="A30" t="s">
        <v>16</v>
      </c>
      <c r="B30" s="51">
        <f>Modelo!$D$6*$C$6*(1+$C$9)^0 - (Modelo!$D$9+Modelo!$D$10)*$C$7 - Modelo!$D$11*$C$8 - (Modelo!$D$6*$C$6*(1+$C$9)^0)*Supuestos!$B$22</f>
        <v>3328.7500000000018</v>
      </c>
      <c r="C30" s="51">
        <f>Modelo!$D$6*$C$6*(1+$C$9)^1 - (Modelo!$D$9+Modelo!$D$10)*$C$7 - Modelo!$D$11*$C$8 - (Modelo!$D$6*$C$6*(1+$C$9)^1)*Supuestos!$B$22</f>
        <v>3393.55</v>
      </c>
      <c r="D30" s="51">
        <f>Modelo!$D$6*$C$6*(1+$C$9)^2 - (Modelo!$D$9+Modelo!$D$10)*$C$7 - Modelo!$D$11*$C$8 - (Modelo!$D$6*$C$6*(1+$C$9)^2)*Supuestos!$B$22</f>
        <v>3458.6739999999977</v>
      </c>
      <c r="E30" s="51">
        <f>Modelo!$D$6*$C$6*(1+$C$9)^3 - (Modelo!$D$9+Modelo!$D$10)*$C$7 - Modelo!$D$11*$C$8 - (Modelo!$D$6*$C$6*(1+$C$9)^3)*Supuestos!$B$22</f>
        <v>3524.1236199999958</v>
      </c>
      <c r="F30" s="51">
        <f>Modelo!$D$6*$C$6*(1+$C$9)^4 - (Modelo!$D$9+Modelo!$D$10)*$C$7 - Modelo!$D$11*$C$8 - (Modelo!$D$6*$C$6*(1+$C$9)^4)*Supuestos!$B$22</f>
        <v>3589.9004880999946</v>
      </c>
      <c r="G30" s="51">
        <f>Modelo!$D$6*$C$6*(1+$C$9)^5 - (Modelo!$D$9+Modelo!$D$10)*$C$7 - Modelo!$D$11*$C$8 - (Modelo!$D$6*$C$6*(1+$C$9)^5)*Supuestos!$B$22</f>
        <v>3656.0062405404901</v>
      </c>
      <c r="H30" s="51">
        <f>Modelo!$D$6*$C$6*(1+$C$9)^6 - (Modelo!$D$9+Modelo!$D$10)*$C$7 - Modelo!$D$11*$C$8 - (Modelo!$D$6*$C$6*(1+$C$9)^6)*Supuestos!$B$22</f>
        <v>3722.4425217431913</v>
      </c>
      <c r="I30" s="51">
        <f>Modelo!$D$6*$C$6*(1+$C$9)^7 - (Modelo!$D$9+Modelo!$D$10)*$C$7 - Modelo!$D$11*$C$8 - (Modelo!$D$6*$C$6*(1+$C$9)^7)*Supuestos!$B$22</f>
        <v>3789.2109843519052</v>
      </c>
      <c r="J30" s="51">
        <f>Modelo!$D$6*$C$6*(1+$C$9)^8 - (Modelo!$D$9+Modelo!$D$10)*$C$7 - Modelo!$D$11*$C$8 - (Modelo!$D$6*$C$6*(1+$C$9)^8)*Supuestos!$B$22</f>
        <v>3856.3132892736644</v>
      </c>
      <c r="K30" s="51">
        <f>Modelo!$D$6*$C$6*(1+$C$9)^9 - (Modelo!$D$9+Modelo!$D$10)*$C$7 - Modelo!$D$11*$C$8 - (Modelo!$D$6*$C$6*(1+$C$9)^9)*Supuestos!$B$22</f>
        <v>3923.7511057200322</v>
      </c>
      <c r="L30" s="51">
        <f>Modelo!$D$6*$C$6*(1+$C$9)^10 - (Modelo!$D$9+Modelo!$D$10)*$C$7 - Modelo!$D$11*$C$8 - (Modelo!$D$6*$C$6*(1+$C$9)^10)*Supuestos!$B$22</f>
        <v>3991.5261112486305</v>
      </c>
      <c r="M30" s="51">
        <f>Modelo!$D$6*$C$6*(1+$C$9)^11 - (Modelo!$D$9+Modelo!$D$10)*$C$7 - Modelo!$D$11*$C$8 - (Modelo!$D$6*$C$6*(1+$C$9)^11)*Supuestos!$B$22</f>
        <v>4059.6399918048705</v>
      </c>
      <c r="N30" s="51">
        <f>SUM(B30:M30)</f>
        <v>44293.888352782786</v>
      </c>
    </row>
    <row r="31" spans="1:14" x14ac:dyDescent="0.2">
      <c r="A31" t="s">
        <v>17</v>
      </c>
      <c r="B31" s="51">
        <f>Modelo!$E$6*$C$6*(1+$C$9)^0 - (Modelo!$E$9+Modelo!$E$10)*$C$7 - Modelo!$E$11*$C$8 - (Modelo!$E$6*$C$6*(1+$C$9)^0)*Supuestos!$B$22</f>
        <v>2160.8333333333348</v>
      </c>
      <c r="C31" s="51">
        <f>Modelo!$E$6*$C$6*(1+$C$9)^1 - (Modelo!$E$9+Modelo!$E$10)*$C$7 - Modelo!$E$11*$C$8 - (Modelo!$E$6*$C$6*(1+$C$9)^1)*Supuestos!$B$22</f>
        <v>2204.0333333333338</v>
      </c>
      <c r="D31" s="51">
        <f>Modelo!$E$6*$C$6*(1+$C$9)^2 - (Modelo!$E$9+Modelo!$E$10)*$C$7 - Modelo!$E$11*$C$8 - (Modelo!$E$6*$C$6*(1+$C$9)^2)*Supuestos!$B$22</f>
        <v>2247.4493333333326</v>
      </c>
      <c r="E31" s="51">
        <f>Modelo!$E$6*$C$6*(1+$C$9)^3 - (Modelo!$E$9+Modelo!$E$10)*$C$7 - Modelo!$E$11*$C$8 - (Modelo!$E$6*$C$6*(1+$C$9)^3)*Supuestos!$B$22</f>
        <v>2291.0824133333322</v>
      </c>
      <c r="F31" s="51">
        <f>Modelo!$E$6*$C$6*(1+$C$9)^4 - (Modelo!$E$9+Modelo!$E$10)*$C$7 - Modelo!$E$11*$C$8 - (Modelo!$E$6*$C$6*(1+$C$9)^4)*Supuestos!$B$22</f>
        <v>2334.9336587333287</v>
      </c>
      <c r="G31" s="51">
        <f>Modelo!$E$6*$C$6*(1+$C$9)^5 - (Modelo!$E$9+Modelo!$E$10)*$C$7 - Modelo!$E$11*$C$8 - (Modelo!$E$6*$C$6*(1+$C$9)^5)*Supuestos!$B$22</f>
        <v>2379.0041603603277</v>
      </c>
      <c r="H31" s="51">
        <f>Modelo!$E$6*$C$6*(1+$C$9)^6 - (Modelo!$E$9+Modelo!$E$10)*$C$7 - Modelo!$E$11*$C$8 - (Modelo!$E$6*$C$6*(1+$C$9)^6)*Supuestos!$B$22</f>
        <v>2423.2950144954616</v>
      </c>
      <c r="I31" s="51">
        <f>Modelo!$E$6*$C$6*(1+$C$9)^7 - (Modelo!$E$9+Modelo!$E$10)*$C$7 - Modelo!$E$11*$C$8 - (Modelo!$E$6*$C$6*(1+$C$9)^7)*Supuestos!$B$22</f>
        <v>2467.8073229012712</v>
      </c>
      <c r="J31" s="51">
        <f>Modelo!$E$6*$C$6*(1+$C$9)^8 - (Modelo!$E$9+Modelo!$E$10)*$C$7 - Modelo!$E$11*$C$8 - (Modelo!$E$6*$C$6*(1+$C$9)^8)*Supuestos!$B$22</f>
        <v>2512.5421928491101</v>
      </c>
      <c r="K31" s="51">
        <f>Modelo!$E$6*$C$6*(1+$C$9)^9 - (Modelo!$E$9+Modelo!$E$10)*$C$7 - Modelo!$E$11*$C$8 - (Modelo!$E$6*$C$6*(1+$C$9)^9)*Supuestos!$B$22</f>
        <v>2557.5007371466877</v>
      </c>
      <c r="L31" s="51">
        <f>Modelo!$E$6*$C$6*(1+$C$9)^10 - (Modelo!$E$9+Modelo!$E$10)*$C$7 - Modelo!$E$11*$C$8 - (Modelo!$E$6*$C$6*(1+$C$9)^10)*Supuestos!$B$22</f>
        <v>2602.6840741657529</v>
      </c>
      <c r="M31" s="51">
        <f>Modelo!$E$6*$C$6*(1+$C$9)^11 - (Modelo!$E$9+Modelo!$E$10)*$C$7 - Modelo!$E$11*$C$8 - (Modelo!$E$6*$C$6*(1+$C$9)^11)*Supuestos!$B$22</f>
        <v>2648.0933278699149</v>
      </c>
      <c r="N31" s="51">
        <f>SUM(B31:M31)</f>
        <v>28829.258901855188</v>
      </c>
    </row>
    <row r="32" spans="1:14" ht="17" thickBot="1" x14ac:dyDescent="0.25">
      <c r="A32" t="s">
        <v>18</v>
      </c>
      <c r="B32" s="51">
        <f>Modelo!$F$6*$C$6*(1+$C$9)^0 - (Modelo!$F$9+Modelo!$F$10)*$C$7 - Modelo!$F$11*$C$8 - (Modelo!$F$6*$C$6*(1+$C$9)^0)*Supuestos!$B$22</f>
        <v>3406.666666666667</v>
      </c>
      <c r="C32" s="51">
        <f>Modelo!$F$6*$C$6*(1+$C$9)^1 - (Modelo!$F$9+Modelo!$F$10)*$C$7 - Modelo!$F$11*$C$8 - (Modelo!$F$6*$C$6*(1+$C$9)^1)*Supuestos!$B$22</f>
        <v>3440.8666666666659</v>
      </c>
      <c r="D32" s="51">
        <f>Modelo!$F$6*$C$6*(1+$C$9)^2 - (Modelo!$F$9+Modelo!$F$10)*$C$7 - Modelo!$F$11*$C$8 - (Modelo!$F$6*$C$6*(1+$C$9)^2)*Supuestos!$B$22</f>
        <v>3475.2376666666651</v>
      </c>
      <c r="E32" s="51">
        <f>Modelo!$F$6*$C$6*(1+$C$9)^3 - (Modelo!$F$9+Modelo!$F$10)*$C$7 - Modelo!$F$11*$C$8 - (Modelo!$F$6*$C$6*(1+$C$9)^3)*Supuestos!$B$22</f>
        <v>3509.7805216666648</v>
      </c>
      <c r="F32" s="51">
        <f>Modelo!$F$6*$C$6*(1+$C$9)^4 - (Modelo!$F$9+Modelo!$F$10)*$C$7 - Modelo!$F$11*$C$8 - (Modelo!$F$6*$C$6*(1+$C$9)^4)*Supuestos!$B$22</f>
        <v>3544.4960909416623</v>
      </c>
      <c r="G32" s="51">
        <f>Modelo!$F$6*$C$6*(1+$C$9)^5 - (Modelo!$F$9+Modelo!$F$10)*$C$7 - Modelo!$F$11*$C$8 - (Modelo!$F$6*$C$6*(1+$C$9)^5)*Supuestos!$B$22</f>
        <v>3579.3852380630356</v>
      </c>
      <c r="H32" s="51">
        <f>Modelo!$F$6*$C$6*(1+$C$9)^6 - (Modelo!$F$9+Modelo!$F$10)*$C$7 - Modelo!$F$11*$C$8 - (Modelo!$F$6*$C$6*(1+$C$9)^6)*Supuestos!$B$22</f>
        <v>3614.4488309200169</v>
      </c>
      <c r="I32" s="51">
        <f>Modelo!$F$6*$C$6*(1+$C$9)^7 - (Modelo!$F$9+Modelo!$F$10)*$C$7 - Modelo!$F$11*$C$8 - (Modelo!$F$6*$C$6*(1+$C$9)^7)*Supuestos!$B$22</f>
        <v>3649.6877417412834</v>
      </c>
      <c r="J32" s="51">
        <f>Modelo!$F$6*$C$6*(1+$C$9)^8 - (Modelo!$F$9+Modelo!$F$10)*$C$7 - Modelo!$F$11*$C$8 - (Modelo!$F$6*$C$6*(1+$C$9)^8)*Supuestos!$B$22</f>
        <v>3685.1028471166555</v>
      </c>
      <c r="K32" s="51">
        <f>Modelo!$F$6*$C$6*(1+$C$9)^9 - (Modelo!$F$9+Modelo!$F$10)*$C$7 - Modelo!$F$11*$C$8 - (Modelo!$F$6*$C$6*(1+$C$9)^9)*Supuestos!$B$22</f>
        <v>3720.6950280189048</v>
      </c>
      <c r="L32" s="51">
        <f>Modelo!$F$6*$C$6*(1+$C$9)^10 - (Modelo!$F$9+Modelo!$F$10)*$C$7 - Modelo!$F$11*$C$8 - (Modelo!$F$6*$C$6*(1+$C$9)^10)*Supuestos!$B$22</f>
        <v>3756.4651698256653</v>
      </c>
      <c r="M32" s="51">
        <f>Modelo!$F$6*$C$6*(1+$C$9)^11 - (Modelo!$F$9+Modelo!$F$10)*$C$7 - Modelo!$F$11*$C$8 - (Modelo!$F$6*$C$6*(1+$C$9)^11)*Supuestos!$B$22</f>
        <v>3792.4141623414589</v>
      </c>
      <c r="N32" s="51">
        <f>SUM(B32:M32)</f>
        <v>43175.246630635345</v>
      </c>
    </row>
    <row r="33" spans="1:14" x14ac:dyDescent="0.2">
      <c r="A33" s="57" t="s">
        <v>102</v>
      </c>
      <c r="B33" s="58">
        <f>SUM(B28:B32)</f>
        <v>20460.416666666675</v>
      </c>
      <c r="C33" s="58">
        <f>SUM(C28:C32)</f>
        <v>20865.416666666661</v>
      </c>
      <c r="D33" s="58">
        <f>SUM(D28:D32)</f>
        <v>21272.441666666651</v>
      </c>
      <c r="E33" s="58">
        <f>SUM(E28:E32)</f>
        <v>21681.501791666644</v>
      </c>
      <c r="F33" s="58">
        <f>SUM(F28:F32)</f>
        <v>22092.607217291621</v>
      </c>
      <c r="G33" s="58">
        <f>SUM(G28:G32)</f>
        <v>22505.768170044728</v>
      </c>
      <c r="H33" s="58">
        <f>SUM(H28:H32)</f>
        <v>22920.994927561613</v>
      </c>
      <c r="I33" s="58">
        <f>SUM(I28:I32)</f>
        <v>23338.297818866071</v>
      </c>
      <c r="J33" s="58">
        <f>SUM(J28:J32)</f>
        <v>23757.687224627065</v>
      </c>
      <c r="K33" s="58">
        <f>SUM(K28:K32)</f>
        <v>24179.173577416866</v>
      </c>
      <c r="L33" s="58">
        <f>SUM(L28:L32)</f>
        <v>24602.767361970597</v>
      </c>
      <c r="M33" s="58">
        <f>SUM(M28:M32)</f>
        <v>25028.479115447106</v>
      </c>
      <c r="N33" s="58">
        <f>SUM(B33:M33)</f>
        <v>272705.55220489227</v>
      </c>
    </row>
    <row r="35" spans="1:14" x14ac:dyDescent="0.2">
      <c r="A35" s="24" t="s">
        <v>104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2">
      <c r="A36" s="8" t="s">
        <v>101</v>
      </c>
      <c r="B36" s="9" t="s">
        <v>87</v>
      </c>
      <c r="C36" s="9" t="s">
        <v>88</v>
      </c>
      <c r="D36" s="9" t="s">
        <v>89</v>
      </c>
      <c r="E36" s="9" t="s">
        <v>90</v>
      </c>
      <c r="F36" s="9" t="s">
        <v>91</v>
      </c>
      <c r="G36" s="9" t="s">
        <v>92</v>
      </c>
      <c r="H36" s="9" t="s">
        <v>93</v>
      </c>
      <c r="I36" s="9" t="s">
        <v>94</v>
      </c>
      <c r="J36" s="9" t="s">
        <v>95</v>
      </c>
      <c r="K36" s="9" t="s">
        <v>96</v>
      </c>
      <c r="L36" s="9" t="s">
        <v>97</v>
      </c>
      <c r="M36" s="9" t="s">
        <v>98</v>
      </c>
      <c r="N36" s="9" t="s">
        <v>99</v>
      </c>
    </row>
    <row r="37" spans="1:14" x14ac:dyDescent="0.2">
      <c r="A37" t="s">
        <v>14</v>
      </c>
      <c r="B37" s="51">
        <f>Modelo!$B$6*$D$6*(1+$D$9)^0 - (Modelo!$B$9+Modelo!$B$10)*$D$7 - Modelo!$B$11*$D$8 - (Modelo!$B$6*$D$6*(1+$D$9)^0)*Supuestos!$B$22</f>
        <v>-5025</v>
      </c>
      <c r="C37" s="51">
        <f>Modelo!$B$6*$D$6*(1+$D$9)^1 - (Modelo!$B$9+Modelo!$B$10)*$D$7 - Modelo!$B$11*$D$8 - (Modelo!$B$6*$D$6*(1+$D$9)^1)*Supuestos!$B$22</f>
        <v>-5110.5</v>
      </c>
      <c r="D37" s="51">
        <f>Modelo!$B$6*$D$6*(1+$D$9)^2 - (Modelo!$B$9+Modelo!$B$10)*$D$7 - Modelo!$B$11*$D$8 - (Modelo!$B$6*$D$6*(1+$D$9)^2)*Supuestos!$B$22</f>
        <v>-5195.7435000000005</v>
      </c>
      <c r="E37" s="51">
        <f>Modelo!$B$6*$D$6*(1+$D$9)^3 - (Modelo!$B$9+Modelo!$B$10)*$D$7 - Modelo!$B$11*$D$8 - (Modelo!$B$6*$D$6*(1+$D$9)^3)*Supuestos!$B$22</f>
        <v>-5280.7312695000037</v>
      </c>
      <c r="F37" s="51">
        <f>Modelo!$B$6*$D$6*(1+$D$9)^4 - (Modelo!$B$9+Modelo!$B$10)*$D$7 - Modelo!$B$11*$D$8 - (Modelo!$B$6*$D$6*(1+$D$9)^4)*Supuestos!$B$22</f>
        <v>-5365.4640756914978</v>
      </c>
      <c r="G37" s="51">
        <f>Modelo!$B$6*$D$6*(1+$D$9)^5 - (Modelo!$B$9+Modelo!$B$10)*$D$7 - Modelo!$B$11*$D$8 - (Modelo!$B$6*$D$6*(1+$D$9)^5)*Supuestos!$B$22</f>
        <v>-5449.9426834644237</v>
      </c>
      <c r="H37" s="51">
        <f>Modelo!$B$6*$D$6*(1+$D$9)^6 - (Modelo!$B$9+Modelo!$B$10)*$D$7 - Modelo!$B$11*$D$8 - (Modelo!$B$6*$D$6*(1+$D$9)^6)*Supuestos!$B$22</f>
        <v>-5534.1678554140326</v>
      </c>
      <c r="I37" s="51">
        <f>Modelo!$B$6*$D$6*(1+$D$9)^7 - (Modelo!$B$9+Modelo!$B$10)*$D$7 - Modelo!$B$11*$D$8 - (Modelo!$B$6*$D$6*(1+$D$9)^7)*Supuestos!$B$22</f>
        <v>-5618.1403518477873</v>
      </c>
      <c r="J37" s="51">
        <f>Modelo!$B$6*$D$6*(1+$D$9)^8 - (Modelo!$B$9+Modelo!$B$10)*$D$7 - Modelo!$B$11*$D$8 - (Modelo!$B$6*$D$6*(1+$D$9)^8)*Supuestos!$B$22</f>
        <v>-5701.8609307922434</v>
      </c>
      <c r="K37" s="51">
        <f>Modelo!$B$6*$D$6*(1+$D$9)^9 - (Modelo!$B$9+Modelo!$B$10)*$D$7 - Modelo!$B$11*$D$8 - (Modelo!$B$6*$D$6*(1+$D$9)^9)*Supuestos!$B$22</f>
        <v>-5785.3303479998667</v>
      </c>
      <c r="L37" s="51">
        <f>Modelo!$B$6*$D$6*(1+$D$9)^10 - (Modelo!$B$9+Modelo!$B$10)*$D$7 - Modelo!$B$11*$D$8 - (Modelo!$B$6*$D$6*(1+$D$9)^10)*Supuestos!$B$22</f>
        <v>-5868.5493569558676</v>
      </c>
      <c r="M37" s="51">
        <f>Modelo!$B$6*$D$6*(1+$D$9)^11 - (Modelo!$B$9+Modelo!$B$10)*$D$7 - Modelo!$B$11*$D$8 - (Modelo!$B$6*$D$6*(1+$D$9)^11)*Supuestos!$B$22</f>
        <v>-5951.5187088850016</v>
      </c>
      <c r="N37" s="51">
        <f>SUM(B37:M37)</f>
        <v>-65886.949080550723</v>
      </c>
    </row>
    <row r="38" spans="1:14" x14ac:dyDescent="0.2">
      <c r="A38" t="s">
        <v>15</v>
      </c>
      <c r="B38" s="51">
        <f>Modelo!$C$6*$D$6*(1+$D$9)^0 - (Modelo!$C$9+Modelo!$C$10)*$D$7 - Modelo!$C$11*$D$8 - (Modelo!$C$6*$D$6*(1+$D$9)^0)*Supuestos!$B$22</f>
        <v>-1350.0000000000018</v>
      </c>
      <c r="C38" s="51">
        <f>Modelo!$C$6*$D$6*(1+$D$9)^1 - (Modelo!$C$9+Modelo!$C$10)*$D$7 - Modelo!$C$11*$D$8 - (Modelo!$C$6*$D$6*(1+$D$9)^1)*Supuestos!$B$22</f>
        <v>-1403.2000000000025</v>
      </c>
      <c r="D38" s="51">
        <f>Modelo!$C$6*$D$6*(1+$D$9)^2 - (Modelo!$C$9+Modelo!$C$10)*$D$7 - Modelo!$C$11*$D$8 - (Modelo!$C$6*$D$6*(1+$D$9)^2)*Supuestos!$B$22</f>
        <v>-1456.2404000000006</v>
      </c>
      <c r="E38" s="51">
        <f>Modelo!$C$6*$D$6*(1+$D$9)^3 - (Modelo!$C$9+Modelo!$C$10)*$D$7 - Modelo!$C$11*$D$8 - (Modelo!$C$6*$D$6*(1+$D$9)^3)*Supuestos!$B$22</f>
        <v>-1509.1216788000011</v>
      </c>
      <c r="F38" s="51">
        <f>Modelo!$C$6*$D$6*(1+$D$9)^4 - (Modelo!$C$9+Modelo!$C$10)*$D$7 - Modelo!$C$11*$D$8 - (Modelo!$C$6*$D$6*(1+$D$9)^4)*Supuestos!$B$22</f>
        <v>-1561.8443137636023</v>
      </c>
      <c r="G38" s="51">
        <f>Modelo!$C$6*$D$6*(1+$D$9)^5 - (Modelo!$C$9+Modelo!$C$10)*$D$7 - Modelo!$C$11*$D$8 - (Modelo!$C$6*$D$6*(1+$D$9)^5)*Supuestos!$B$22</f>
        <v>-1614.4087808223112</v>
      </c>
      <c r="H38" s="51">
        <f>Modelo!$C$6*$D$6*(1+$D$9)^6 - (Modelo!$C$9+Modelo!$C$10)*$D$7 - Modelo!$C$11*$D$8 - (Modelo!$C$6*$D$6*(1+$D$9)^6)*Supuestos!$B$22</f>
        <v>-1666.8155544798437</v>
      </c>
      <c r="I38" s="51">
        <f>Modelo!$C$6*$D$6*(1+$D$9)^7 - (Modelo!$C$9+Modelo!$C$10)*$D$7 - Modelo!$C$11*$D$8 - (Modelo!$C$6*$D$6*(1+$D$9)^7)*Supuestos!$B$22</f>
        <v>-1719.0651078164046</v>
      </c>
      <c r="J38" s="51">
        <f>Modelo!$C$6*$D$6*(1+$D$9)^8 - (Modelo!$C$9+Modelo!$C$10)*$D$7 - Modelo!$C$11*$D$8 - (Modelo!$C$6*$D$6*(1+$D$9)^8)*Supuestos!$B$22</f>
        <v>-1771.1579124929549</v>
      </c>
      <c r="K38" s="51">
        <f>Modelo!$C$6*$D$6*(1+$D$9)^9 - (Modelo!$C$9+Modelo!$C$10)*$D$7 - Modelo!$C$11*$D$8 - (Modelo!$C$6*$D$6*(1+$D$9)^9)*Supuestos!$B$22</f>
        <v>-1823.0944387554764</v>
      </c>
      <c r="L38" s="51">
        <f>Modelo!$C$6*$D$6*(1+$D$9)^10 - (Modelo!$C$9+Modelo!$C$10)*$D$7 - Modelo!$C$11*$D$8 - (Modelo!$C$6*$D$6*(1+$D$9)^10)*Supuestos!$B$22</f>
        <v>-1874.8751554392093</v>
      </c>
      <c r="M38" s="51">
        <f>Modelo!$C$6*$D$6*(1+$D$9)^11 - (Modelo!$C$9+Modelo!$C$10)*$D$7 - Modelo!$C$11*$D$8 - (Modelo!$C$6*$D$6*(1+$D$9)^11)*Supuestos!$B$22</f>
        <v>-1926.5005299728909</v>
      </c>
      <c r="N38" s="51">
        <f>SUM(B38:M38)</f>
        <v>-19676.323872342702</v>
      </c>
    </row>
    <row r="39" spans="1:14" x14ac:dyDescent="0.2">
      <c r="A39" t="s">
        <v>16</v>
      </c>
      <c r="B39" s="51">
        <f>Modelo!$D$6*$D$6*(1+$D$9)^0 - (Modelo!$D$9+Modelo!$D$10)*$D$7 - Modelo!$D$11*$D$8 - (Modelo!$D$6*$D$6*(1+$D$9)^0)*Supuestos!$B$22</f>
        <v>-124.99999999999955</v>
      </c>
      <c r="C39" s="51">
        <f>Modelo!$D$6*$D$6*(1+$D$9)^1 - (Modelo!$D$9+Modelo!$D$10)*$D$7 - Modelo!$D$11*$D$8 - (Modelo!$D$6*$D$6*(1+$D$9)^1)*Supuestos!$B$22</f>
        <v>-159.19999999999982</v>
      </c>
      <c r="D39" s="51">
        <f>Modelo!$D$6*$D$6*(1+$D$9)^2 - (Modelo!$D$9+Modelo!$D$10)*$D$7 - Modelo!$D$11*$D$8 - (Modelo!$D$6*$D$6*(1+$D$9)^2)*Supuestos!$B$22</f>
        <v>-193.29739999999993</v>
      </c>
      <c r="E39" s="51">
        <f>Modelo!$D$6*$D$6*(1+$D$9)^3 - (Modelo!$D$9+Modelo!$D$10)*$D$7 - Modelo!$D$11*$D$8 - (Modelo!$D$6*$D$6*(1+$D$9)^3)*Supuestos!$B$22</f>
        <v>-227.29250779999984</v>
      </c>
      <c r="F39" s="51">
        <f>Modelo!$D$6*$D$6*(1+$D$9)^4 - (Modelo!$D$9+Modelo!$D$10)*$D$7 - Modelo!$D$11*$D$8 - (Modelo!$D$6*$D$6*(1+$D$9)^4)*Supuestos!$B$22</f>
        <v>-261.18563027659957</v>
      </c>
      <c r="G39" s="51">
        <f>Modelo!$D$6*$D$6*(1+$D$9)^5 - (Modelo!$D$9+Modelo!$D$10)*$D$7 - Modelo!$D$11*$D$8 - (Modelo!$D$6*$D$6*(1+$D$9)^5)*Supuestos!$B$22</f>
        <v>-294.97707338576993</v>
      </c>
      <c r="H39" s="51">
        <f>Modelo!$D$6*$D$6*(1+$D$9)^6 - (Modelo!$D$9+Modelo!$D$10)*$D$7 - Modelo!$D$11*$D$8 - (Modelo!$D$6*$D$6*(1+$D$9)^6)*Supuestos!$B$22</f>
        <v>-328.66714216561195</v>
      </c>
      <c r="I39" s="51">
        <f>Modelo!$D$6*$D$6*(1+$D$9)^7 - (Modelo!$D$9+Modelo!$D$10)*$D$7 - Modelo!$D$11*$D$8 - (Modelo!$D$6*$D$6*(1+$D$9)^7)*Supuestos!$B$22</f>
        <v>-362.25614073911538</v>
      </c>
      <c r="J39" s="51">
        <f>Modelo!$D$6*$D$6*(1+$D$9)^8 - (Modelo!$D$9+Modelo!$D$10)*$D$7 - Modelo!$D$11*$D$8 - (Modelo!$D$6*$D$6*(1+$D$9)^8)*Supuestos!$B$22</f>
        <v>-395.74437231689762</v>
      </c>
      <c r="K39" s="51">
        <f>Modelo!$D$6*$D$6*(1+$D$9)^9 - (Modelo!$D$9+Modelo!$D$10)*$D$7 - Modelo!$D$11*$D$8 - (Modelo!$D$6*$D$6*(1+$D$9)^9)*Supuestos!$B$22</f>
        <v>-429.13213919994723</v>
      </c>
      <c r="L39" s="51">
        <f>Modelo!$D$6*$D$6*(1+$D$9)^10 - (Modelo!$D$9+Modelo!$D$10)*$D$7 - Modelo!$D$11*$D$8 - (Modelo!$D$6*$D$6*(1+$D$9)^10)*Supuestos!$B$22</f>
        <v>-462.41974278234693</v>
      </c>
      <c r="M39" s="51">
        <f>Modelo!$D$6*$D$6*(1+$D$9)^11 - (Modelo!$D$9+Modelo!$D$10)*$D$7 - Modelo!$D$11*$D$8 - (Modelo!$D$6*$D$6*(1+$D$9)^11)*Supuestos!$B$22</f>
        <v>-495.60748355399983</v>
      </c>
      <c r="N39" s="51">
        <f>SUM(B39:M39)</f>
        <v>-3734.7796322202876</v>
      </c>
    </row>
    <row r="40" spans="1:14" x14ac:dyDescent="0.2">
      <c r="A40" t="s">
        <v>17</v>
      </c>
      <c r="B40" s="51">
        <f>Modelo!$E$6*$D$6*(1+$D$9)^0 - (Modelo!$E$9+Modelo!$E$10)*$D$7 - Modelo!$E$11*$D$8 - (Modelo!$E$6*$D$6*(1+$D$9)^0)*Supuestos!$B$22</f>
        <v>-316.66666666666629</v>
      </c>
      <c r="C40" s="51">
        <f>Modelo!$E$6*$D$6*(1+$D$9)^1 - (Modelo!$E$9+Modelo!$E$10)*$D$7 - Modelo!$E$11*$D$8 - (Modelo!$E$6*$D$6*(1+$D$9)^1)*Supuestos!$B$22</f>
        <v>-339.46666666666647</v>
      </c>
      <c r="D40" s="51">
        <f>Modelo!$E$6*$D$6*(1+$D$9)^2 - (Modelo!$E$9+Modelo!$E$10)*$D$7 - Modelo!$E$11*$D$8 - (Modelo!$E$6*$D$6*(1+$D$9)^2)*Supuestos!$B$22</f>
        <v>-362.19826666666563</v>
      </c>
      <c r="E40" s="51">
        <f>Modelo!$E$6*$D$6*(1+$D$9)^3 - (Modelo!$E$9+Modelo!$E$10)*$D$7 - Modelo!$E$11*$D$8 - (Modelo!$E$6*$D$6*(1+$D$9)^3)*Supuestos!$B$22</f>
        <v>-384.86167186666648</v>
      </c>
      <c r="F40" s="51">
        <f>Modelo!$E$6*$D$6*(1+$D$9)^4 - (Modelo!$E$9+Modelo!$E$10)*$D$7 - Modelo!$E$11*$D$8 - (Modelo!$E$6*$D$6*(1+$D$9)^4)*Supuestos!$B$22</f>
        <v>-407.4570868510657</v>
      </c>
      <c r="G40" s="51">
        <f>Modelo!$E$6*$D$6*(1+$D$9)^5 - (Modelo!$E$9+Modelo!$E$10)*$D$7 - Modelo!$E$11*$D$8 - (Modelo!$E$6*$D$6*(1+$D$9)^5)*Supuestos!$B$22</f>
        <v>-429.98471559051313</v>
      </c>
      <c r="H40" s="51">
        <f>Modelo!$E$6*$D$6*(1+$D$9)^6 - (Modelo!$E$9+Modelo!$E$10)*$D$7 - Modelo!$E$11*$D$8 - (Modelo!$E$6*$D$6*(1+$D$9)^6)*Supuestos!$B$22</f>
        <v>-452.4447614437413</v>
      </c>
      <c r="I40" s="51">
        <f>Modelo!$E$6*$D$6*(1+$D$9)^7 - (Modelo!$E$9+Modelo!$E$10)*$D$7 - Modelo!$E$11*$D$8 - (Modelo!$E$6*$D$6*(1+$D$9)^7)*Supuestos!$B$22</f>
        <v>-474.83742715940957</v>
      </c>
      <c r="J40" s="51">
        <f>Modelo!$E$6*$D$6*(1+$D$9)^8 - (Modelo!$E$9+Modelo!$E$10)*$D$7 - Modelo!$E$11*$D$8 - (Modelo!$E$6*$D$6*(1+$D$9)^8)*Supuestos!$B$22</f>
        <v>-497.16291487793137</v>
      </c>
      <c r="K40" s="51">
        <f>Modelo!$E$6*$D$6*(1+$D$9)^9 - (Modelo!$E$9+Modelo!$E$10)*$D$7 - Modelo!$E$11*$D$8 - (Modelo!$E$6*$D$6*(1+$D$9)^9)*Supuestos!$B$22</f>
        <v>-519.42142613329838</v>
      </c>
      <c r="L40" s="51">
        <f>Modelo!$E$6*$D$6*(1+$D$9)^10 - (Modelo!$E$9+Modelo!$E$10)*$D$7 - Modelo!$E$11*$D$8 - (Modelo!$E$6*$D$6*(1+$D$9)^10)*Supuestos!$B$22</f>
        <v>-541.61316185489773</v>
      </c>
      <c r="M40" s="51">
        <f>Modelo!$E$6*$D$6*(1+$D$9)^11 - (Modelo!$E$9+Modelo!$E$10)*$D$7 - Modelo!$E$11*$D$8 - (Modelo!$E$6*$D$6*(1+$D$9)^11)*Supuestos!$B$22</f>
        <v>-563.73832236933299</v>
      </c>
      <c r="N40" s="51">
        <f>SUM(B40:M40)</f>
        <v>-5289.853088146855</v>
      </c>
    </row>
    <row r="41" spans="1:14" ht="17" thickBot="1" x14ac:dyDescent="0.25">
      <c r="A41" t="s">
        <v>18</v>
      </c>
      <c r="B41" s="51">
        <f>Modelo!$F$6*$D$6*(1+$D$9)^0 - (Modelo!$F$9+Modelo!$F$10)*$D$7 - Modelo!$F$11*$D$8 - (Modelo!$F$6*$D$6*(1+$D$9)^0)*Supuestos!$B$22</f>
        <v>1958.3333333333335</v>
      </c>
      <c r="C41" s="51">
        <f>Modelo!$F$6*$D$6*(1+$D$9)^1 - (Modelo!$F$9+Modelo!$F$10)*$D$7 - Modelo!$F$11*$D$8 - (Modelo!$F$6*$D$6*(1+$D$9)^1)*Supuestos!$B$22</f>
        <v>1940.2833333333335</v>
      </c>
      <c r="D41" s="51">
        <f>Modelo!$F$6*$D$6*(1+$D$9)^2 - (Modelo!$F$9+Modelo!$F$10)*$D$7 - Modelo!$F$11*$D$8 - (Modelo!$F$6*$D$6*(1+$D$9)^2)*Supuestos!$B$22</f>
        <v>1922.2874833333335</v>
      </c>
      <c r="E41" s="51">
        <f>Modelo!$F$6*$D$6*(1+$D$9)^3 - (Modelo!$F$9+Modelo!$F$10)*$D$7 - Modelo!$F$11*$D$8 - (Modelo!$F$6*$D$6*(1+$D$9)^3)*Supuestos!$B$22</f>
        <v>1904.3456208833334</v>
      </c>
      <c r="F41" s="51">
        <f>Modelo!$F$6*$D$6*(1+$D$9)^4 - (Modelo!$F$9+Modelo!$F$10)*$D$7 - Modelo!$F$11*$D$8 - (Modelo!$F$6*$D$6*(1+$D$9)^4)*Supuestos!$B$22</f>
        <v>1886.4575840206837</v>
      </c>
      <c r="G41" s="51">
        <f>Modelo!$F$6*$D$6*(1+$D$9)^5 - (Modelo!$F$9+Modelo!$F$10)*$D$7 - Modelo!$F$11*$D$8 - (Modelo!$F$6*$D$6*(1+$D$9)^5)*Supuestos!$B$22</f>
        <v>1868.6232112686214</v>
      </c>
      <c r="H41" s="51">
        <f>Modelo!$F$6*$D$6*(1+$D$9)^6 - (Modelo!$F$9+Modelo!$F$10)*$D$7 - Modelo!$F$11*$D$8 - (Modelo!$F$6*$D$6*(1+$D$9)^6)*Supuestos!$B$22</f>
        <v>1850.842341634816</v>
      </c>
      <c r="I41" s="51">
        <f>Modelo!$F$6*$D$6*(1+$D$9)^7 - (Modelo!$F$9+Modelo!$F$10)*$D$7 - Modelo!$F$11*$D$8 - (Modelo!$F$6*$D$6*(1+$D$9)^7)*Supuestos!$B$22</f>
        <v>1833.1148146099113</v>
      </c>
      <c r="J41" s="51">
        <f>Modelo!$F$6*$D$6*(1+$D$9)^8 - (Modelo!$F$9+Modelo!$F$10)*$D$7 - Modelo!$F$11*$D$8 - (Modelo!$F$6*$D$6*(1+$D$9)^8)*Supuestos!$B$22</f>
        <v>1815.4404701660817</v>
      </c>
      <c r="K41" s="51">
        <f>Modelo!$F$6*$D$6*(1+$D$9)^9 - (Modelo!$F$9+Modelo!$F$10)*$D$7 - Modelo!$F$11*$D$8 - (Modelo!$F$6*$D$6*(1+$D$9)^9)*Supuestos!$B$22</f>
        <v>1797.8191487555835</v>
      </c>
      <c r="L41" s="51">
        <f>Modelo!$F$6*$D$6*(1+$D$9)^10 - (Modelo!$F$9+Modelo!$F$10)*$D$7 - Modelo!$F$11*$D$8 - (Modelo!$F$6*$D$6*(1+$D$9)^10)*Supuestos!$B$22</f>
        <v>1780.2506913093173</v>
      </c>
      <c r="M41" s="51">
        <f>Modelo!$F$6*$D$6*(1+$D$9)^11 - (Modelo!$F$9+Modelo!$F$10)*$D$7 - Modelo!$F$11*$D$8 - (Modelo!$F$6*$D$6*(1+$D$9)^11)*Supuestos!$B$22</f>
        <v>1762.7349392353892</v>
      </c>
      <c r="N41" s="51">
        <f>SUM(B41:M41)</f>
        <v>22320.532971883738</v>
      </c>
    </row>
    <row r="42" spans="1:14" x14ac:dyDescent="0.2">
      <c r="A42" s="57" t="s">
        <v>102</v>
      </c>
      <c r="B42" s="58">
        <f>SUM(B37:B41)</f>
        <v>-4858.3333333333339</v>
      </c>
      <c r="C42" s="58">
        <f>SUM(C37:C41)</f>
        <v>-5072.0833333333348</v>
      </c>
      <c r="D42" s="58">
        <f>SUM(D37:D41)</f>
        <v>-5285.1920833333324</v>
      </c>
      <c r="E42" s="58">
        <f>SUM(E37:E41)</f>
        <v>-5497.6615070833377</v>
      </c>
      <c r="F42" s="58">
        <f>SUM(F37:F41)</f>
        <v>-5709.4935225620811</v>
      </c>
      <c r="G42" s="58">
        <f>SUM(G37:G41)</f>
        <v>-5920.6900419943977</v>
      </c>
      <c r="H42" s="58">
        <f>SUM(H37:H41)</f>
        <v>-6131.2529718684136</v>
      </c>
      <c r="I42" s="58">
        <f>SUM(I37:I41)</f>
        <v>-6341.184212952805</v>
      </c>
      <c r="J42" s="58">
        <f>SUM(J37:J41)</f>
        <v>-6550.485660313946</v>
      </c>
      <c r="K42" s="58">
        <f>SUM(K37:K41)</f>
        <v>-6759.1592033330053</v>
      </c>
      <c r="L42" s="58">
        <f>SUM(L37:L41)</f>
        <v>-6967.2067257230037</v>
      </c>
      <c r="M42" s="58">
        <f>SUM(M37:M41)</f>
        <v>-7174.6301055458362</v>
      </c>
      <c r="N42" s="58">
        <f>SUM(B42:M42)</f>
        <v>-72267.372701376837</v>
      </c>
    </row>
    <row r="44" spans="1:14" x14ac:dyDescent="0.2">
      <c r="A44" s="42" t="s">
        <v>105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4" x14ac:dyDescent="0.2">
      <c r="A45" s="49" t="s">
        <v>106</v>
      </c>
    </row>
    <row r="46" spans="1:14" ht="17" thickBot="1" x14ac:dyDescent="0.25"/>
    <row r="47" spans="1:14" x14ac:dyDescent="0.2">
      <c r="A47" s="63" t="s">
        <v>107</v>
      </c>
      <c r="B47" s="60">
        <v>-0.2</v>
      </c>
      <c r="C47" s="60">
        <v>-0.15</v>
      </c>
      <c r="D47" s="60">
        <v>-0.1</v>
      </c>
      <c r="E47" s="60">
        <v>-0.05</v>
      </c>
      <c r="F47" s="61">
        <v>0</v>
      </c>
      <c r="G47" s="60">
        <v>0.05</v>
      </c>
      <c r="H47" s="60">
        <v>0.1</v>
      </c>
      <c r="I47" s="60">
        <v>0.15</v>
      </c>
      <c r="J47" s="67">
        <v>0.2</v>
      </c>
    </row>
    <row r="48" spans="1:14" x14ac:dyDescent="0.2">
      <c r="A48" s="64">
        <v>-0.15</v>
      </c>
      <c r="B48" s="59">
        <f>Modelo!$G$6*12*(1+$A48) - Modelo!$G$9*12*(1+B$47) - Modelo!$G$10*12 - Modelo!$G$11*12*(1+B$47) - Modelo!$G$6*12*(1+$A48)*Supuestos!$B$22</f>
        <v>112400.00000000003</v>
      </c>
      <c r="C48" s="59">
        <f>Modelo!$G$6*12*(1+$A48) - Modelo!$G$9*12*(1+C$47) - Modelo!$G$10*12 - Modelo!$G$11*12*(1+C$47) - Modelo!$G$6*12*(1+$A48)*Supuestos!$B$22</f>
        <v>78362.500000000029</v>
      </c>
      <c r="D48" s="59">
        <f>Modelo!$G$6*12*(1+$A48) - Modelo!$G$9*12*(1+D$47) - Modelo!$G$10*12 - Modelo!$G$11*12*(1+D$47) - Modelo!$G$6*12*(1+$A48)*Supuestos!$B$22</f>
        <v>44325.000000000029</v>
      </c>
      <c r="E48" s="59">
        <f>Modelo!$G$6*12*(1+$A48) - Modelo!$G$9*12*(1+E$47) - Modelo!$G$10*12 - Modelo!$G$11*12*(1+E$47) - Modelo!$G$6*12*(1+$A48)*Supuestos!$B$22</f>
        <v>10287.500000000029</v>
      </c>
      <c r="F48" s="59">
        <f>Modelo!$G$6*12*(1+$A48) - Modelo!$G$9*12*(1+F$47) - Modelo!$G$10*12 - Modelo!$G$11*12*(1+F$47) - Modelo!$G$6*12*(1+$A48)*Supuestos!$B$22</f>
        <v>-23749.999999999971</v>
      </c>
      <c r="G48" s="59">
        <f>Modelo!$G$6*12*(1+$A48) - Modelo!$G$9*12*(1+G$47) - Modelo!$G$10*12 - Modelo!$G$11*12*(1+G$47) - Modelo!$G$6*12*(1+$A48)*Supuestos!$B$22</f>
        <v>-57787.499999999971</v>
      </c>
      <c r="H48" s="59">
        <f>Modelo!$G$6*12*(1+$A48) - Modelo!$G$9*12*(1+H$47) - Modelo!$G$10*12 - Modelo!$G$11*12*(1+H$47) - Modelo!$G$6*12*(1+$A48)*Supuestos!$B$22</f>
        <v>-91824.999999999971</v>
      </c>
      <c r="I48" s="59">
        <f>Modelo!$G$6*12*(1+$A48) - Modelo!$G$9*12*(1+I$47) - Modelo!$G$10*12 - Modelo!$G$11*12*(1+I$47) - Modelo!$G$6*12*(1+$A48)*Supuestos!$B$22</f>
        <v>-125862.49999999997</v>
      </c>
      <c r="J48" s="68">
        <f>Modelo!$G$6*12*(1+$A48) - Modelo!$G$9*12*(1+J$47) - Modelo!$G$10*12 - Modelo!$G$11*12*(1+J$47) - Modelo!$G$6*12*(1+$A48)*Supuestos!$B$22</f>
        <v>-159899.99999999997</v>
      </c>
    </row>
    <row r="49" spans="1:10" x14ac:dyDescent="0.2">
      <c r="A49" s="64">
        <v>-0.1</v>
      </c>
      <c r="B49" s="59"/>
      <c r="C49" s="59">
        <f>Modelo!$G$6*12*(1+$A49) - Modelo!$G$9*12*(1+C$47) - Modelo!$G$10*12 - Modelo!$G$11*12*(1+C$47) - Modelo!$G$6*12*(1+$A49)*Supuestos!$B$22</f>
        <v>123362.50000000003</v>
      </c>
      <c r="D49" s="59">
        <f>Modelo!$G$6*12*(1+$A49) - Modelo!$G$9*12*(1+D$47) - Modelo!$G$10*12 - Modelo!$G$11*12*(1+D$47) - Modelo!$G$6*12*(1+$A49)*Supuestos!$B$22</f>
        <v>89325.000000000029</v>
      </c>
      <c r="E49" s="59">
        <f>Modelo!$G$6*12*(1+$A49) - Modelo!$G$9*12*(1+E$47) - Modelo!$G$10*12 - Modelo!$G$11*12*(1+E$47) - Modelo!$G$6*12*(1+$A49)*Supuestos!$B$22</f>
        <v>55287.500000000029</v>
      </c>
      <c r="F49" s="59">
        <f>Modelo!$G$6*12*(1+$A49) - Modelo!$G$9*12*(1+F$47) - Modelo!$G$10*12 - Modelo!$G$11*12*(1+F$47) - Modelo!$G$6*12*(1+$A49)*Supuestos!$B$22</f>
        <v>21250.000000000029</v>
      </c>
      <c r="G49" s="59">
        <f>Modelo!$G$6*12*(1+$A49) - Modelo!$G$9*12*(1+G$47) - Modelo!$G$10*12 - Modelo!$G$11*12*(1+G$47) - Modelo!$G$6*12*(1+$A49)*Supuestos!$B$22</f>
        <v>-12787.499999999971</v>
      </c>
      <c r="H49" s="59">
        <f>Modelo!$G$6*12*(1+$A49) - Modelo!$G$9*12*(1+H$47) - Modelo!$G$10*12 - Modelo!$G$11*12*(1+H$47) - Modelo!$G$6*12*(1+$A49)*Supuestos!$B$22</f>
        <v>-46824.999999999971</v>
      </c>
      <c r="I49" s="59">
        <f>Modelo!$G$6*12*(1+$A49) - Modelo!$G$9*12*(1+I$47) - Modelo!$G$10*12 - Modelo!$G$11*12*(1+I$47) - Modelo!$G$6*12*(1+$A49)*Supuestos!$B$22</f>
        <v>-80862.499999999971</v>
      </c>
      <c r="J49" s="68">
        <f>Modelo!$G$6*12*(1+$A49) - Modelo!$G$9*12*(1+J$47) - Modelo!$G$10*12 - Modelo!$G$11*12*(1+J$47) - Modelo!$G$6*12*(1+$A49)*Supuestos!$B$22</f>
        <v>-114899.99999999997</v>
      </c>
    </row>
    <row r="50" spans="1:10" ht="17" thickBot="1" x14ac:dyDescent="0.25">
      <c r="A50" s="64">
        <v>-0.05</v>
      </c>
      <c r="B50" s="59"/>
      <c r="C50" s="59">
        <f>Modelo!$G$6*12*(1+$A50) - Modelo!$G$9*12*(1+C$47) - Modelo!$G$10*12 - Modelo!$G$11*12*(1+C$47) - Modelo!$G$6*12*(1+$A50)*Supuestos!$B$22</f>
        <v>168362.50000000003</v>
      </c>
      <c r="D50" s="59">
        <f>Modelo!$G$6*12*(1+$A50) - Modelo!$G$9*12*(1+D$47) - Modelo!$G$10*12 - Modelo!$G$11*12*(1+D$47) - Modelo!$G$6*12*(1+$A50)*Supuestos!$B$22</f>
        <v>134325.00000000003</v>
      </c>
      <c r="E50" s="59">
        <f>Modelo!$G$6*12*(1+$A50) - Modelo!$G$9*12*(1+E$47) - Modelo!$G$10*12 - Modelo!$G$11*12*(1+E$47) - Modelo!$G$6*12*(1+$A50)*Supuestos!$B$22</f>
        <v>100287.50000000003</v>
      </c>
      <c r="F50" s="59">
        <f>Modelo!$G$6*12*(1+$A50) - Modelo!$G$9*12*(1+F$47) - Modelo!$G$10*12 - Modelo!$G$11*12*(1+F$47) - Modelo!$G$6*12*(1+$A50)*Supuestos!$B$22</f>
        <v>66250.000000000029</v>
      </c>
      <c r="G50" s="59">
        <f>Modelo!$G$6*12*(1+$A50) - Modelo!$G$9*12*(1+G$47) - Modelo!$G$10*12 - Modelo!$G$11*12*(1+G$47) - Modelo!$G$6*12*(1+$A50)*Supuestos!$B$22</f>
        <v>32212.500000000029</v>
      </c>
      <c r="H50" s="59">
        <f>Modelo!$G$6*12*(1+$A50) - Modelo!$G$9*12*(1+H$47) - Modelo!$G$10*12 - Modelo!$G$11*12*(1+H$47) - Modelo!$G$6*12*(1+$A50)*Supuestos!$B$22</f>
        <v>-1824.9999999999709</v>
      </c>
      <c r="I50" s="59">
        <f>Modelo!$G$6*12*(1+$A50) - Modelo!$G$9*12*(1+I$47) - Modelo!$G$10*12 - Modelo!$G$11*12*(1+I$47) - Modelo!$G$6*12*(1+$A50)*Supuestos!$B$22</f>
        <v>-35862.499999999971</v>
      </c>
      <c r="J50" s="68">
        <f>Modelo!$G$6*12*(1+$A50) - Modelo!$G$9*12*(1+J$47) - Modelo!$G$10*12 - Modelo!$G$11*12*(1+J$47) - Modelo!$G$6*12*(1+$A50)*Supuestos!$B$22</f>
        <v>-69899.999999999971</v>
      </c>
    </row>
    <row r="51" spans="1:10" ht="18" thickTop="1" thickBot="1" x14ac:dyDescent="0.25">
      <c r="A51" s="65">
        <v>0</v>
      </c>
      <c r="B51" s="59"/>
      <c r="C51" s="59">
        <f>Modelo!$G$6*12*(1+$A51) - Modelo!$G$9*12*(1+C$47) - Modelo!$G$10*12 - Modelo!$G$11*12*(1+C$47) - Modelo!$G$6*12*(1+$A51)*Supuestos!$B$22</f>
        <v>213362.50000000003</v>
      </c>
      <c r="D51" s="59">
        <f>Modelo!$G$6*12*(1+$A51) - Modelo!$G$9*12*(1+D$47) - Modelo!$G$10*12 - Modelo!$G$11*12*(1+D$47) - Modelo!$G$6*12*(1+$A51)*Supuestos!$B$22</f>
        <v>179325.00000000003</v>
      </c>
      <c r="E51" s="59">
        <f>Modelo!$G$6*12*(1+$A51) - Modelo!$G$9*12*(1+E$47) - Modelo!$G$10*12 - Modelo!$G$11*12*(1+E$47) - Modelo!$G$6*12*(1+$A51)*Supuestos!$B$22</f>
        <v>145287.50000000003</v>
      </c>
      <c r="F51" s="70">
        <f>Modelo!$G$6*12*(1+$A51) - Modelo!$G$9*12*(1+F$47) - Modelo!$G$10*12 - Modelo!$G$11*12*(1+F$47) - Modelo!$G$6*12*(1+$A51)*Supuestos!$B$22</f>
        <v>111250.00000000003</v>
      </c>
      <c r="G51" s="59">
        <f>Modelo!$G$6*12*(1+$A51) - Modelo!$G$9*12*(1+G$47) - Modelo!$G$10*12 - Modelo!$G$11*12*(1+G$47) - Modelo!$G$6*12*(1+$A51)*Supuestos!$B$22</f>
        <v>77212.500000000029</v>
      </c>
      <c r="H51" s="59">
        <f>Modelo!$G$6*12*(1+$A51) - Modelo!$G$9*12*(1+H$47) - Modelo!$G$10*12 - Modelo!$G$11*12*(1+H$47) - Modelo!$G$6*12*(1+$A51)*Supuestos!$B$22</f>
        <v>43175.000000000029</v>
      </c>
      <c r="I51" s="59">
        <f>Modelo!$G$6*12*(1+$A51) - Modelo!$G$9*12*(1+I$47) - Modelo!$G$10*12 - Modelo!$G$11*12*(1+I$47) - Modelo!$G$6*12*(1+$A51)*Supuestos!$B$22</f>
        <v>9137.5000000000291</v>
      </c>
      <c r="J51" s="68">
        <f>Modelo!$G$6*12*(1+$A51) - Modelo!$G$9*12*(1+J$47) - Modelo!$G$10*12 - Modelo!$G$11*12*(1+J$47) - Modelo!$G$6*12*(1+$A51)*Supuestos!$B$22</f>
        <v>-24899.999999999971</v>
      </c>
    </row>
    <row r="52" spans="1:10" ht="17" thickTop="1" x14ac:dyDescent="0.2">
      <c r="A52" s="64">
        <v>0.05</v>
      </c>
      <c r="B52" s="59"/>
      <c r="C52" s="59">
        <f>Modelo!$G$6*12*(1+$A52) - Modelo!$G$9*12*(1+C$47) - Modelo!$G$10*12 - Modelo!$G$11*12*(1+C$47) - Modelo!$G$6*12*(1+$A52)*Supuestos!$B$22</f>
        <v>258362.50000000003</v>
      </c>
      <c r="D52" s="59">
        <f>Modelo!$G$6*12*(1+$A52) - Modelo!$G$9*12*(1+D$47) - Modelo!$G$10*12 - Modelo!$G$11*12*(1+D$47) - Modelo!$G$6*12*(1+$A52)*Supuestos!$B$22</f>
        <v>224325.00000000003</v>
      </c>
      <c r="E52" s="59">
        <f>Modelo!$G$6*12*(1+$A52) - Modelo!$G$9*12*(1+E$47) - Modelo!$G$10*12 - Modelo!$G$11*12*(1+E$47) - Modelo!$G$6*12*(1+$A52)*Supuestos!$B$22</f>
        <v>190287.50000000003</v>
      </c>
      <c r="F52" s="59">
        <f>Modelo!$G$6*12*(1+$A52) - Modelo!$G$9*12*(1+F$47) - Modelo!$G$10*12 - Modelo!$G$11*12*(1+F$47) - Modelo!$G$6*12*(1+$A52)*Supuestos!$B$22</f>
        <v>156250.00000000003</v>
      </c>
      <c r="G52" s="59">
        <f>Modelo!$G$6*12*(1+$A52) - Modelo!$G$9*12*(1+G$47) - Modelo!$G$10*12 - Modelo!$G$11*12*(1+G$47) - Modelo!$G$6*12*(1+$A52)*Supuestos!$B$22</f>
        <v>122212.50000000003</v>
      </c>
      <c r="H52" s="59">
        <f>Modelo!$G$6*12*(1+$A52) - Modelo!$G$9*12*(1+H$47) - Modelo!$G$10*12 - Modelo!$G$11*12*(1+H$47) - Modelo!$G$6*12*(1+$A52)*Supuestos!$B$22</f>
        <v>88175.000000000029</v>
      </c>
      <c r="I52" s="59">
        <f>Modelo!$G$6*12*(1+$A52) - Modelo!$G$9*12*(1+I$47) - Modelo!$G$10*12 - Modelo!$G$11*12*(1+I$47) - Modelo!$G$6*12*(1+$A52)*Supuestos!$B$22</f>
        <v>54137.500000000029</v>
      </c>
      <c r="J52" s="68">
        <f>Modelo!$G$6*12*(1+$A52) - Modelo!$G$9*12*(1+J$47) - Modelo!$G$10*12 - Modelo!$G$11*12*(1+J$47) - Modelo!$G$6*12*(1+$A52)*Supuestos!$B$22</f>
        <v>20100.000000000029</v>
      </c>
    </row>
    <row r="53" spans="1:10" x14ac:dyDescent="0.2">
      <c r="A53" s="64">
        <v>0.1</v>
      </c>
      <c r="B53" s="59"/>
      <c r="C53" s="59">
        <f>Modelo!$G$6*12*(1+$A53) - Modelo!$G$9*12*(1+C$47) - Modelo!$G$10*12 - Modelo!$G$11*12*(1+C$47) - Modelo!$G$6*12*(1+$A53)*Supuestos!$B$22</f>
        <v>303362.5</v>
      </c>
      <c r="D53" s="59">
        <f>Modelo!$G$6*12*(1+$A53) - Modelo!$G$9*12*(1+D$47) - Modelo!$G$10*12 - Modelo!$G$11*12*(1+D$47) - Modelo!$G$6*12*(1+$A53)*Supuestos!$B$22</f>
        <v>269325</v>
      </c>
      <c r="E53" s="59">
        <f>Modelo!$G$6*12*(1+$A53) - Modelo!$G$9*12*(1+E$47) - Modelo!$G$10*12 - Modelo!$G$11*12*(1+E$47) - Modelo!$G$6*12*(1+$A53)*Supuestos!$B$22</f>
        <v>235287.50000000003</v>
      </c>
      <c r="F53" s="59">
        <f>Modelo!$G$6*12*(1+$A53) - Modelo!$G$9*12*(1+F$47) - Modelo!$G$10*12 - Modelo!$G$11*12*(1+F$47) - Modelo!$G$6*12*(1+$A53)*Supuestos!$B$22</f>
        <v>201250.00000000003</v>
      </c>
      <c r="G53" s="59">
        <f>Modelo!$G$6*12*(1+$A53) - Modelo!$G$9*12*(1+G$47) - Modelo!$G$10*12 - Modelo!$G$11*12*(1+G$47) - Modelo!$G$6*12*(1+$A53)*Supuestos!$B$22</f>
        <v>167212.50000000003</v>
      </c>
      <c r="H53" s="59">
        <f>Modelo!$G$6*12*(1+$A53) - Modelo!$G$9*12*(1+H$47) - Modelo!$G$10*12 - Modelo!$G$11*12*(1+H$47) - Modelo!$G$6*12*(1+$A53)*Supuestos!$B$22</f>
        <v>133175.00000000003</v>
      </c>
      <c r="I53" s="59">
        <f>Modelo!$G$6*12*(1+$A53) - Modelo!$G$9*12*(1+I$47) - Modelo!$G$10*12 - Modelo!$G$11*12*(1+I$47) - Modelo!$G$6*12*(1+$A53)*Supuestos!$B$22</f>
        <v>99137.500000000029</v>
      </c>
      <c r="J53" s="68">
        <f>Modelo!$G$6*12*(1+$A53) - Modelo!$G$9*12*(1+J$47) - Modelo!$G$10*12 - Modelo!$G$11*12*(1+J$47) - Modelo!$G$6*12*(1+$A53)*Supuestos!$B$22</f>
        <v>65100.000000000029</v>
      </c>
    </row>
    <row r="54" spans="1:10" ht="17" thickBot="1" x14ac:dyDescent="0.25">
      <c r="A54" s="66">
        <v>0.15</v>
      </c>
      <c r="B54" s="62"/>
      <c r="C54" s="62">
        <f>Modelo!$G$6*12*(1+$A54) - Modelo!$G$9*12*(1+C$47) - Modelo!$G$10*12 - Modelo!$G$11*12*(1+C$47) - Modelo!$G$6*12*(1+$A54)*Supuestos!$B$22</f>
        <v>348362.5</v>
      </c>
      <c r="D54" s="62">
        <f>Modelo!$G$6*12*(1+$A54) - Modelo!$G$9*12*(1+D$47) - Modelo!$G$10*12 - Modelo!$G$11*12*(1+D$47) - Modelo!$G$6*12*(1+$A54)*Supuestos!$B$22</f>
        <v>314325</v>
      </c>
      <c r="E54" s="62">
        <f>Modelo!$G$6*12*(1+$A54) - Modelo!$G$9*12*(1+E$47) - Modelo!$G$10*12 - Modelo!$G$11*12*(1+E$47) - Modelo!$G$6*12*(1+$A54)*Supuestos!$B$22</f>
        <v>280287.5</v>
      </c>
      <c r="F54" s="62">
        <f>Modelo!$G$6*12*(1+$A54) - Modelo!$G$9*12*(1+F$47) - Modelo!$G$10*12 - Modelo!$G$11*12*(1+F$47) - Modelo!$G$6*12*(1+$A54)*Supuestos!$B$22</f>
        <v>246250.00000000003</v>
      </c>
      <c r="G54" s="62">
        <f>Modelo!$G$6*12*(1+$A54) - Modelo!$G$9*12*(1+G$47) - Modelo!$G$10*12 - Modelo!$G$11*12*(1+G$47) - Modelo!$G$6*12*(1+$A54)*Supuestos!$B$22</f>
        <v>212212.50000000003</v>
      </c>
      <c r="H54" s="62">
        <f>Modelo!$G$6*12*(1+$A54) - Modelo!$G$9*12*(1+H$47) - Modelo!$G$10*12 - Modelo!$G$11*12*(1+H$47) - Modelo!$G$6*12*(1+$A54)*Supuestos!$B$22</f>
        <v>178175.00000000003</v>
      </c>
      <c r="I54" s="62">
        <f>Modelo!$G$6*12*(1+$A54) - Modelo!$G$9*12*(1+I$47) - Modelo!$G$10*12 - Modelo!$G$11*12*(1+I$47) - Modelo!$G$6*12*(1+$A54)*Supuestos!$B$22</f>
        <v>144137.50000000003</v>
      </c>
      <c r="J54" s="69">
        <f>Modelo!$G$6*12*(1+$A54) - Modelo!$G$9*12*(1+J$47) - Modelo!$G$10*12 - Modelo!$G$11*12*(1+J$47) - Modelo!$G$6*12*(1+$A54)*Supuestos!$B$22</f>
        <v>110100.00000000003</v>
      </c>
    </row>
    <row r="56" spans="1:10" x14ac:dyDescent="0.2">
      <c r="A56" s="42" t="s">
        <v>108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">
      <c r="A57" s="48" t="s">
        <v>109</v>
      </c>
    </row>
    <row r="58" spans="1:10" x14ac:dyDescent="0.2">
      <c r="A58" s="48" t="s">
        <v>110</v>
      </c>
    </row>
    <row r="59" spans="1:10" x14ac:dyDescent="0.2">
      <c r="A59" s="48" t="s">
        <v>111</v>
      </c>
    </row>
    <row r="60" spans="1:10" x14ac:dyDescent="0.2">
      <c r="A60" s="48" t="s">
        <v>112</v>
      </c>
    </row>
    <row r="61" spans="1:10" x14ac:dyDescent="0.2">
      <c r="A61" s="48" t="s">
        <v>113</v>
      </c>
    </row>
  </sheetData>
  <conditionalFormatting sqref="B48:J54">
    <cfRule type="cellIs" dxfId="1" priority="1" operator="greaterThan">
      <formula>0</formula>
    </cfRule>
  </conditionalFormatting>
  <conditionalFormatting sqref="B48:J54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</vt:lpstr>
      <vt:lpstr>Modelo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Sevilla Guerra</dc:creator>
  <cp:lastModifiedBy>Daniel Sevilla Guerra</cp:lastModifiedBy>
  <dcterms:created xsi:type="dcterms:W3CDTF">2026-04-16T18:29:19Z</dcterms:created>
  <dcterms:modified xsi:type="dcterms:W3CDTF">2026-04-19T08:19:35Z</dcterms:modified>
</cp:coreProperties>
</file>