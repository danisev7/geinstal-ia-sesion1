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onmac/Dev-local/formacion-gesinstal/docs/sesion1/materiales/"/>
    </mc:Choice>
  </mc:AlternateContent>
  <xr:revisionPtr revIDLastSave="0" documentId="8_{A9BF4961-E185-BA47-8558-154980093F87}" xr6:coauthVersionLast="47" xr6:coauthVersionMax="47" xr10:uidLastSave="{00000000-0000-0000-0000-000000000000}"/>
  <bookViews>
    <workbookView xWindow="0" yWindow="600" windowWidth="34400" windowHeight="28200" xr2:uid="{9D557204-AFDC-B647-89DB-30496BE54903}"/>
  </bookViews>
  <sheets>
    <sheet name="Supuestos" sheetId="2" r:id="rId1"/>
    <sheet name="Modelo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C31" i="3"/>
  <c r="G12" i="3"/>
  <c r="F12" i="3"/>
  <c r="E12" i="3"/>
  <c r="D12" i="3"/>
  <c r="C12" i="3"/>
  <c r="B12" i="3"/>
  <c r="G11" i="3"/>
  <c r="F11" i="3"/>
  <c r="E11" i="3"/>
  <c r="D11" i="3"/>
  <c r="C11" i="3"/>
  <c r="B11" i="3"/>
  <c r="I16" i="2"/>
  <c r="I15" i="2"/>
  <c r="I14" i="2"/>
  <c r="I13" i="2"/>
  <c r="I12" i="2"/>
  <c r="I11" i="2"/>
  <c r="C33" i="3"/>
  <c r="C30" i="3"/>
  <c r="C21" i="3"/>
  <c r="B21" i="3"/>
  <c r="E20" i="3"/>
  <c r="D20" i="3"/>
  <c r="E19" i="3"/>
  <c r="D19" i="3"/>
  <c r="C19" i="3"/>
  <c r="B19" i="3"/>
  <c r="F10" i="3"/>
  <c r="E10" i="3"/>
  <c r="D10" i="3"/>
  <c r="C10" i="3"/>
  <c r="B10" i="3"/>
  <c r="G10" i="3" s="1"/>
  <c r="F9" i="3"/>
  <c r="E9" i="3"/>
  <c r="E15" i="3" s="1"/>
  <c r="D9" i="3"/>
  <c r="D15" i="3" s="1"/>
  <c r="C9" i="3"/>
  <c r="C15" i="3" s="1"/>
  <c r="C25" i="3" s="1"/>
  <c r="C26" i="3" s="1"/>
  <c r="B9" i="3"/>
  <c r="G9" i="3" s="1"/>
  <c r="F6" i="3"/>
  <c r="F15" i="3" s="1"/>
  <c r="E6" i="3"/>
  <c r="E16" i="3" s="1"/>
  <c r="D6" i="3"/>
  <c r="D16" i="3" s="1"/>
  <c r="C6" i="3"/>
  <c r="C20" i="3" s="1"/>
  <c r="C22" i="3" s="1"/>
  <c r="B6" i="3"/>
  <c r="B20" i="3" s="1"/>
  <c r="B22" i="2"/>
  <c r="G16" i="2"/>
  <c r="F16" i="2"/>
  <c r="E16" i="2"/>
  <c r="C16" i="2"/>
  <c r="B16" i="2"/>
  <c r="G15" i="2"/>
  <c r="E15" i="2"/>
  <c r="G14" i="2"/>
  <c r="E14" i="2"/>
  <c r="G13" i="2"/>
  <c r="E13" i="2"/>
  <c r="G12" i="2"/>
  <c r="E12" i="2"/>
  <c r="G11" i="2"/>
  <c r="E11" i="2"/>
  <c r="E25" i="3" l="1"/>
  <c r="E26" i="3" s="1"/>
  <c r="D22" i="3"/>
  <c r="D25" i="3" s="1"/>
  <c r="D26" i="3" s="1"/>
  <c r="B22" i="3"/>
  <c r="E22" i="3"/>
  <c r="G21" i="3"/>
  <c r="F19" i="3"/>
  <c r="D21" i="3"/>
  <c r="E21" i="3"/>
  <c r="F21" i="3"/>
  <c r="F16" i="3"/>
  <c r="G6" i="3"/>
  <c r="F20" i="3"/>
  <c r="G20" i="3" s="1"/>
  <c r="C16" i="3"/>
  <c r="B31" i="3" l="1"/>
  <c r="D31" i="3" s="1"/>
  <c r="E31" i="3" s="1"/>
  <c r="B15" i="3"/>
  <c r="F22" i="3"/>
  <c r="F25" i="3" s="1"/>
  <c r="F26" i="3" s="1"/>
  <c r="G19" i="3"/>
  <c r="B30" i="3"/>
  <c r="D30" i="3" s="1"/>
  <c r="E30" i="3" s="1"/>
  <c r="G22" i="3"/>
  <c r="B33" i="3" s="1"/>
  <c r="D33" i="3" s="1"/>
  <c r="E33" i="3" s="1"/>
  <c r="C32" i="3" l="1"/>
  <c r="G15" i="3"/>
  <c r="G16" i="3" s="1"/>
  <c r="B25" i="3"/>
  <c r="B16" i="3"/>
  <c r="B26" i="3" l="1"/>
  <c r="G25" i="3"/>
  <c r="B32" i="3" l="1"/>
  <c r="D32" i="3" s="1"/>
  <c r="E32" i="3" s="1"/>
  <c r="G2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Sevilla</author>
  </authors>
  <commentList>
    <comment ref="H11" authorId="0" shapeId="0" xr:uid="{F797F0F5-1B56-F645-A97C-359B722AD947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% sobre coste base de técnicos por horas extra de urgencias</t>
        </r>
      </text>
    </comment>
    <comment ref="B19" authorId="0" shapeId="0" xr:uid="{F779109B-1EB6-9F45-9D3B-B0513019EB8D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Incluye administración, dirección, RRHH, IT, etc. Rango típico sector: 10%-15%</t>
        </r>
      </text>
    </comment>
    <comment ref="B20" authorId="0" shapeId="0" xr:uid="{E8519342-CCEE-394B-B641-084768C5F174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Incluye equipo comercial, ofertas, desplazamientos. Rango típico sector: 3%-7%</t>
        </r>
      </text>
    </comment>
    <comment ref="B21" authorId="0" shapeId="0" xr:uid="{07698C70-BE38-4C44-8172-F568749D26A9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Seguros, vehículos, formación, EPIs,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Sevilla</author>
  </authors>
  <commentList>
    <comment ref="B37" authorId="0" shapeId="0" xr:uid="{AB7DF33B-F995-DD4A-9D93-64372CAF6143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Margen neto excluyendo coste de urgencias, para comparar el impacto</t>
        </r>
      </text>
    </comment>
  </commentList>
</comments>
</file>

<file path=xl/sharedStrings.xml><?xml version="1.0" encoding="utf-8"?>
<sst xmlns="http://schemas.openxmlformats.org/spreadsheetml/2006/main" count="76" uniqueCount="69">
  <si>
    <t>GEINSTAL - Modelo de Rentabilidad por Cliente</t>
  </si>
  <si>
    <t>Mantenimiento Integral de Edificios</t>
  </si>
  <si>
    <t>DATOS DE EMPRESA</t>
  </si>
  <si>
    <t>Empleados totales</t>
  </si>
  <si>
    <t>Facturación total (€)</t>
  </si>
  <si>
    <t>Coste medio técnico (€/año)</t>
  </si>
  <si>
    <t>SUPUESTOS POR CLIENTE</t>
  </si>
  <si>
    <t>Cliente</t>
  </si>
  <si>
    <t>Ingresos Anuales (€)</t>
  </si>
  <si>
    <t>Técnicos Asignados</t>
  </si>
  <si>
    <t>Coste Técnico (€/año)</t>
  </si>
  <si>
    <t>Coste Personal Total (€/año)</t>
  </si>
  <si>
    <t>Material Estimado (€/año)</t>
  </si>
  <si>
    <t>Coste Directo Total (€/año)</t>
  </si>
  <si>
    <t>Hospital Vall d'Hebron</t>
  </si>
  <si>
    <t>SEAT Martorell</t>
  </si>
  <si>
    <t>UAB Bellaterra</t>
  </si>
  <si>
    <t>Danone Parets</t>
  </si>
  <si>
    <t>CCCB Barcelona</t>
  </si>
  <si>
    <t>TOTAL</t>
  </si>
  <si>
    <t>PARÁMETROS GENERALES</t>
  </si>
  <si>
    <t>% Gastos estructura s/ingresos</t>
  </si>
  <si>
    <t>% Gastos comerciales s/ingresos</t>
  </si>
  <si>
    <t>% Otros gastos indirectos s/ingresos</t>
  </si>
  <si>
    <t>% Total gastos indirectos</t>
  </si>
  <si>
    <t>NOTAS</t>
  </si>
  <si>
    <t>• Valores en azul son inputs modificables (hardcoded)</t>
  </si>
  <si>
    <t>• Los gastos indirectos se asignan proporcionalmente a los ingresos de cada cliente</t>
  </si>
  <si>
    <t>• El coste de personal incluye salario bruto + SS empresa (coste empresa total)</t>
  </si>
  <si>
    <t>GEINSTAL - Análisis de Rentabilidad por Cliente (Mensual)</t>
  </si>
  <si>
    <t>Todos los valores en €/mes. Fórmulas vinculadas a pestaña Supuestos.</t>
  </si>
  <si>
    <t>INGRESOS MENSUALES</t>
  </si>
  <si>
    <t>Vall d'Hebron</t>
  </si>
  <si>
    <t>SEAT</t>
  </si>
  <si>
    <t>UAB</t>
  </si>
  <si>
    <t>Danone</t>
  </si>
  <si>
    <t>CCCB</t>
  </si>
  <si>
    <t>Ingresos contrato</t>
  </si>
  <si>
    <t>COSTES DIRECTOS MENSUALES</t>
  </si>
  <si>
    <t>Coste personal</t>
  </si>
  <si>
    <t>Coste material</t>
  </si>
  <si>
    <t>Total costes directos</t>
  </si>
  <si>
    <t>MARGEN BRUTO</t>
  </si>
  <si>
    <t>Margen bruto (€)</t>
  </si>
  <si>
    <t>Margen bruto (%)</t>
  </si>
  <si>
    <t>COSTES INDIRECTOS ASIGNADOS</t>
  </si>
  <si>
    <t>Gastos estructura</t>
  </si>
  <si>
    <t>Gastos comerciales</t>
  </si>
  <si>
    <t>Otros gastos indirectos</t>
  </si>
  <si>
    <t>Total costes indirectos</t>
  </si>
  <si>
    <t>MARGEN NETO</t>
  </si>
  <si>
    <t>Margen neto (€)</t>
  </si>
  <si>
    <t>Margen neto (%)</t>
  </si>
  <si>
    <t>CHECK DE CUADRE</t>
  </si>
  <si>
    <t>Concepto</t>
  </si>
  <si>
    <t>Modelo (mensual)</t>
  </si>
  <si>
    <t>Supuestos (anual/12)</t>
  </si>
  <si>
    <t>Diferencia</t>
  </si>
  <si>
    <t>Estado</t>
  </si>
  <si>
    <t>Ingresos totales</t>
  </si>
  <si>
    <t>Margen neto = Ingresos - CD - CI</t>
  </si>
  <si>
    <t>% Indirectos aplicado</t>
  </si>
  <si>
    <t>Margen Bruto %</t>
  </si>
  <si>
    <t>% Horas Extra Urgencias</t>
  </si>
  <si>
    <t>Coste Urgencias (€/año)</t>
  </si>
  <si>
    <t>Coste urgencias</t>
  </si>
  <si>
    <t>Costes directos totales (incl. urgencias)</t>
  </si>
  <si>
    <t>Margen Neto % (sin urgencias)</t>
  </si>
  <si>
    <t>Margen Neto Ajustado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</si>
</sst>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sz val="12"/>
      <color rgb="FF808080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DCD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0" borderId="0" xfId="0" applyFont="1"/>
    <xf numFmtId="3" fontId="6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3" fontId="0" fillId="0" borderId="0" xfId="0" applyNumberFormat="1"/>
    <xf numFmtId="3" fontId="1" fillId="3" borderId="0" xfId="0" applyNumberFormat="1" applyFont="1" applyFill="1"/>
    <xf numFmtId="0" fontId="0" fillId="3" borderId="0" xfId="0" applyFill="1"/>
    <xf numFmtId="3" fontId="1" fillId="0" borderId="0" xfId="0" applyNumberFormat="1" applyFont="1"/>
    <xf numFmtId="164" fontId="6" fillId="0" borderId="0" xfId="0" applyNumberFormat="1" applyFont="1"/>
    <xf numFmtId="0" fontId="1" fillId="4" borderId="0" xfId="0" applyFont="1" applyFill="1"/>
    <xf numFmtId="164" fontId="0" fillId="0" borderId="0" xfId="0" applyNumberFormat="1"/>
    <xf numFmtId="164" fontId="1" fillId="0" borderId="0" xfId="0" applyNumberFormat="1" applyFont="1"/>
    <xf numFmtId="164" fontId="1" fillId="4" borderId="0" xfId="0" applyNumberFormat="1" applyFont="1" applyFill="1"/>
    <xf numFmtId="0" fontId="5" fillId="6" borderId="0" xfId="0" applyFont="1" applyFill="1"/>
    <xf numFmtId="0" fontId="0" fillId="6" borderId="0" xfId="0" applyFill="1"/>
    <xf numFmtId="0" fontId="5" fillId="7" borderId="0" xfId="0" applyFont="1" applyFill="1"/>
    <xf numFmtId="0" fontId="0" fillId="7" borderId="0" xfId="0" applyFill="1"/>
    <xf numFmtId="0" fontId="5" fillId="8" borderId="0" xfId="0" applyFont="1" applyFill="1"/>
    <xf numFmtId="0" fontId="0" fillId="8" borderId="0" xfId="0" applyFill="1"/>
    <xf numFmtId="0" fontId="1" fillId="9" borderId="0" xfId="0" applyFont="1" applyFill="1"/>
    <xf numFmtId="0" fontId="1" fillId="9" borderId="0" xfId="0" applyFont="1" applyFill="1" applyAlignment="1">
      <alignment horizontal="center"/>
    </xf>
    <xf numFmtId="4" fontId="0" fillId="0" borderId="0" xfId="0" applyNumberFormat="1"/>
    <xf numFmtId="10" fontId="0" fillId="0" borderId="0" xfId="0" applyNumberFormat="1"/>
    <xf numFmtId="0" fontId="1" fillId="5" borderId="1" xfId="0" applyFont="1" applyFill="1" applyBorder="1"/>
    <xf numFmtId="3" fontId="1" fillId="5" borderId="1" xfId="0" applyNumberFormat="1" applyFont="1" applyFill="1" applyBorder="1"/>
    <xf numFmtId="0" fontId="1" fillId="0" borderId="2" xfId="0" applyFont="1" applyBorder="1"/>
    <xf numFmtId="3" fontId="1" fillId="0" borderId="2" xfId="0" applyNumberFormat="1" applyFont="1" applyBorder="1"/>
    <xf numFmtId="0" fontId="1" fillId="0" borderId="3" xfId="0" applyFont="1" applyBorder="1"/>
    <xf numFmtId="3" fontId="1" fillId="0" borderId="3" xfId="0" applyNumberFormat="1" applyFont="1" applyBorder="1"/>
    <xf numFmtId="0" fontId="0" fillId="0" borderId="0" xfId="0" applyBorder="1"/>
    <xf numFmtId="164" fontId="0" fillId="0" borderId="0" xfId="0" applyNumberFormat="1" applyBorder="1"/>
    <xf numFmtId="164" fontId="1" fillId="0" borderId="0" xfId="0" applyNumberFormat="1" applyFont="1" applyBorder="1"/>
    <xf numFmtId="0" fontId="1" fillId="3" borderId="4" xfId="0" applyFont="1" applyFill="1" applyBorder="1"/>
    <xf numFmtId="3" fontId="1" fillId="3" borderId="4" xfId="0" applyNumberFormat="1" applyFont="1" applyFill="1" applyBorder="1"/>
    <xf numFmtId="3" fontId="1" fillId="3" borderId="4" xfId="0" applyNumberFormat="1" applyFont="1" applyFill="1" applyBorder="1" applyAlignment="1">
      <alignment horizontal="center"/>
    </xf>
    <xf numFmtId="0" fontId="0" fillId="3" borderId="4" xfId="0" applyFill="1" applyBorder="1"/>
    <xf numFmtId="0" fontId="0" fillId="0" borderId="0" xfId="0" applyFont="1" applyFill="1" applyBorder="1"/>
    <xf numFmtId="3" fontId="0" fillId="0" borderId="0" xfId="0" applyNumberFormat="1" applyFont="1" applyFill="1" applyBorder="1"/>
    <xf numFmtId="3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de Márgenes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Modelo!$A$36</c:f>
              <c:strCache>
                <c:ptCount val="1"/>
                <c:pt idx="0">
                  <c:v>Margen Bruto %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Modelo!$B$36:$F$36</c:f>
              <c:numCache>
                <c:formatCode>0.0%</c:formatCode>
                <c:ptCount val="5"/>
                <c:pt idx="0">
                  <c:v>0.22800000000000001</c:v>
                </c:pt>
                <c:pt idx="1">
                  <c:v>0.31785714285714284</c:v>
                </c:pt>
                <c:pt idx="2">
                  <c:v>0.31583333333333335</c:v>
                </c:pt>
                <c:pt idx="3">
                  <c:v>0.3041666666666667</c:v>
                </c:pt>
                <c:pt idx="4">
                  <c:v>0.53999999999999992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1-FC4B-ABA9-7A03AD0D7724}"/>
            </c:ext>
          </c:extLst>
        </c:ser>
        <c:ser>
          <c:idx val="1"/>
          <c:order val="1"/>
          <c:tx>
            <c:strRef>
              <c:f>Modelo!$A$37</c:f>
              <c:strCache>
                <c:ptCount val="1"/>
                <c:pt idx="0">
                  <c:v>Margen Neto % (sin urgencias)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Modelo!$B$37:$F$37</c:f>
              <c:numCache>
                <c:formatCode>0.0%</c:formatCode>
                <c:ptCount val="5"/>
                <c:pt idx="0">
                  <c:v>7.7777777777777807E-2</c:v>
                </c:pt>
                <c:pt idx="1">
                  <c:v>0.19285714285714287</c:v>
                </c:pt>
                <c:pt idx="2">
                  <c:v>0.13333333333333333</c:v>
                </c:pt>
                <c:pt idx="3">
                  <c:v>0.13333333333333339</c:v>
                </c:pt>
                <c:pt idx="4">
                  <c:v>0.3473684210526316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1-FC4B-ABA9-7A03AD0D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159552"/>
        <c:axId val="332377920"/>
      </c:barChart>
      <c:lineChart>
        <c:grouping val="standard"/>
        <c:varyColors val="0"/>
        <c:ser>
          <c:idx val="2"/>
          <c:order val="2"/>
          <c:tx>
            <c:strRef>
              <c:f>Modelo!$A$38</c:f>
              <c:strCache>
                <c:ptCount val="1"/>
                <c:pt idx="0">
                  <c:v>Margen Neto Ajustado 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Modelo!$B$38:$F$38</c:f>
              <c:numCache>
                <c:formatCode>0.0%</c:formatCode>
                <c:ptCount val="5"/>
                <c:pt idx="0">
                  <c:v>2.8000000000000001E-2</c:v>
                </c:pt>
                <c:pt idx="1">
                  <c:v>0.11785714285714287</c:v>
                </c:pt>
                <c:pt idx="2">
                  <c:v>0.11583333333333333</c:v>
                </c:pt>
                <c:pt idx="3">
                  <c:v>0.1041666666666667</c:v>
                </c:pt>
                <c:pt idx="4">
                  <c:v>0.33999999999999997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1-FC4B-ABA9-7A03AD0D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159552"/>
        <c:axId val="332377920"/>
      </c:lineChart>
      <c:catAx>
        <c:axId val="2491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2377920"/>
        <c:crosses val="autoZero"/>
        <c:auto val="1"/>
        <c:lblAlgn val="ctr"/>
        <c:lblOffset val="100"/>
        <c:noMultiLvlLbl val="0"/>
      </c:catAx>
      <c:valAx>
        <c:axId val="33237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915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165100</xdr:rowOff>
    </xdr:from>
    <xdr:to>
      <xdr:col>5</xdr:col>
      <xdr:colOff>254000</xdr:colOff>
      <xdr:row>64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C8D3BC-A4C9-62B4-C63B-4433507D0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20B3A2-79FF-6945-BD9D-E342167A1F79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3a2ed808-ddfe-4b39-9886-6f34cc872e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1661-E9EC-4441-9391-F274E56D12D0}">
  <dimension ref="A1:I27"/>
  <sheetViews>
    <sheetView tabSelected="1" workbookViewId="0">
      <selection activeCell="E18" sqref="E18"/>
    </sheetView>
  </sheetViews>
  <sheetFormatPr baseColWidth="10" defaultRowHeight="16" x14ac:dyDescent="0.2"/>
  <cols>
    <col min="1" max="1" width="40" customWidth="1"/>
    <col min="2" max="7" width="23.33203125" customWidth="1"/>
    <col min="8" max="9" width="25.83203125" customWidth="1"/>
  </cols>
  <sheetData>
    <row r="1" spans="1:9" ht="19" x14ac:dyDescent="0.25">
      <c r="A1" s="1" t="s">
        <v>0</v>
      </c>
    </row>
    <row r="2" spans="1:9" x14ac:dyDescent="0.2">
      <c r="A2" s="3" t="s">
        <v>1</v>
      </c>
    </row>
    <row r="4" spans="1:9" x14ac:dyDescent="0.2">
      <c r="A4" s="4" t="s">
        <v>2</v>
      </c>
      <c r="B4" s="5"/>
      <c r="C4" s="5"/>
    </row>
    <row r="5" spans="1:9" x14ac:dyDescent="0.2">
      <c r="A5" s="6" t="s">
        <v>3</v>
      </c>
      <c r="B5" s="7">
        <v>305</v>
      </c>
    </row>
    <row r="6" spans="1:9" x14ac:dyDescent="0.2">
      <c r="A6" s="6" t="s">
        <v>4</v>
      </c>
      <c r="B6" s="7">
        <v>35000000</v>
      </c>
    </row>
    <row r="7" spans="1:9" x14ac:dyDescent="0.2">
      <c r="A7" s="6" t="s">
        <v>5</v>
      </c>
      <c r="B7" s="7">
        <v>35000</v>
      </c>
    </row>
    <row r="9" spans="1:9" x14ac:dyDescent="0.2">
      <c r="A9" s="4" t="s">
        <v>6</v>
      </c>
      <c r="B9" s="5"/>
      <c r="C9" s="5"/>
      <c r="D9" s="5"/>
      <c r="E9" s="5"/>
      <c r="F9" s="5"/>
      <c r="G9" s="5"/>
      <c r="H9" s="5"/>
      <c r="I9" s="5"/>
    </row>
    <row r="10" spans="1:9" x14ac:dyDescent="0.2">
      <c r="A10" s="8" t="s">
        <v>7</v>
      </c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13</v>
      </c>
      <c r="H10" s="9" t="s">
        <v>63</v>
      </c>
      <c r="I10" s="9" t="s">
        <v>64</v>
      </c>
    </row>
    <row r="11" spans="1:9" x14ac:dyDescent="0.2">
      <c r="A11" t="s">
        <v>14</v>
      </c>
      <c r="B11" s="7">
        <v>450000</v>
      </c>
      <c r="C11" s="10">
        <v>8</v>
      </c>
      <c r="D11" s="7">
        <v>35000</v>
      </c>
      <c r="E11" s="11">
        <f>C11*D11</f>
        <v>280000</v>
      </c>
      <c r="F11" s="7">
        <v>45000</v>
      </c>
      <c r="G11" s="11">
        <f>E11+F11</f>
        <v>325000</v>
      </c>
      <c r="H11" s="15">
        <v>0.08</v>
      </c>
      <c r="I11" s="11">
        <f>E11*H11</f>
        <v>22400</v>
      </c>
    </row>
    <row r="12" spans="1:9" x14ac:dyDescent="0.2">
      <c r="A12" t="s">
        <v>15</v>
      </c>
      <c r="B12" s="7">
        <v>280000</v>
      </c>
      <c r="C12" s="10">
        <v>4</v>
      </c>
      <c r="D12" s="7">
        <v>35000</v>
      </c>
      <c r="E12" s="11">
        <f>C12*D12</f>
        <v>140000</v>
      </c>
      <c r="F12" s="7">
        <v>30000</v>
      </c>
      <c r="G12" s="11">
        <f>E12+F12</f>
        <v>170000</v>
      </c>
      <c r="H12" s="15">
        <v>0.15</v>
      </c>
      <c r="I12" s="11">
        <f>E12*H12</f>
        <v>21000</v>
      </c>
    </row>
    <row r="13" spans="1:9" x14ac:dyDescent="0.2">
      <c r="A13" t="s">
        <v>16</v>
      </c>
      <c r="B13" s="7">
        <v>180000</v>
      </c>
      <c r="C13" s="10">
        <v>3</v>
      </c>
      <c r="D13" s="7">
        <v>35000</v>
      </c>
      <c r="E13" s="11">
        <f>C13*D13</f>
        <v>105000</v>
      </c>
      <c r="F13" s="7">
        <v>15000</v>
      </c>
      <c r="G13" s="11">
        <f>E13+F13</f>
        <v>120000</v>
      </c>
      <c r="H13" s="15">
        <v>0.03</v>
      </c>
      <c r="I13" s="11">
        <f>E13*H13</f>
        <v>3150</v>
      </c>
    </row>
    <row r="14" spans="1:9" x14ac:dyDescent="0.2">
      <c r="A14" t="s">
        <v>17</v>
      </c>
      <c r="B14" s="7">
        <v>120000</v>
      </c>
      <c r="C14" s="10">
        <v>2</v>
      </c>
      <c r="D14" s="7">
        <v>35000</v>
      </c>
      <c r="E14" s="11">
        <f>C14*D14</f>
        <v>70000</v>
      </c>
      <c r="F14" s="7">
        <v>10000</v>
      </c>
      <c r="G14" s="11">
        <f>E14+F14</f>
        <v>80000</v>
      </c>
      <c r="H14" s="15">
        <v>0.05</v>
      </c>
      <c r="I14" s="11">
        <f>E14*H14</f>
        <v>3500</v>
      </c>
    </row>
    <row r="15" spans="1:9" ht="17" thickBot="1" x14ac:dyDescent="0.25">
      <c r="A15" t="s">
        <v>18</v>
      </c>
      <c r="B15" s="7">
        <v>95000</v>
      </c>
      <c r="C15" s="10">
        <v>1</v>
      </c>
      <c r="D15" s="7">
        <v>35000</v>
      </c>
      <c r="E15" s="11">
        <f>C15*D15</f>
        <v>35000</v>
      </c>
      <c r="F15" s="7">
        <v>8000</v>
      </c>
      <c r="G15" s="11">
        <f>E15+F15</f>
        <v>43000</v>
      </c>
      <c r="H15" s="15">
        <v>0.02</v>
      </c>
      <c r="I15" s="11">
        <f>E15*H15</f>
        <v>700</v>
      </c>
    </row>
    <row r="16" spans="1:9" x14ac:dyDescent="0.2">
      <c r="A16" s="39" t="s">
        <v>19</v>
      </c>
      <c r="B16" s="40">
        <f>SUM(B11:B15)</f>
        <v>1125000</v>
      </c>
      <c r="C16" s="41">
        <f>SUM(C11:C15)</f>
        <v>18</v>
      </c>
      <c r="D16" s="42"/>
      <c r="E16" s="40">
        <f>SUM(E11:E15)</f>
        <v>630000</v>
      </c>
      <c r="F16" s="40">
        <f>SUM(F11:F15)</f>
        <v>108000</v>
      </c>
      <c r="G16" s="40">
        <f>SUM(G11:G15)</f>
        <v>738000</v>
      </c>
      <c r="H16" s="13"/>
      <c r="I16" s="12">
        <f>SUM(I11:I15)</f>
        <v>50750</v>
      </c>
    </row>
    <row r="18" spans="1:4" x14ac:dyDescent="0.2">
      <c r="A18" s="4" t="s">
        <v>20</v>
      </c>
      <c r="B18" s="5"/>
      <c r="C18" s="5"/>
    </row>
    <row r="19" spans="1:4" x14ac:dyDescent="0.2">
      <c r="A19" s="6" t="s">
        <v>21</v>
      </c>
      <c r="B19" s="15">
        <v>0.12</v>
      </c>
    </row>
    <row r="20" spans="1:4" x14ac:dyDescent="0.2">
      <c r="A20" s="6" t="s">
        <v>22</v>
      </c>
      <c r="B20" s="15">
        <v>0.05</v>
      </c>
    </row>
    <row r="21" spans="1:4" x14ac:dyDescent="0.2">
      <c r="A21" s="6" t="s">
        <v>23</v>
      </c>
      <c r="B21" s="15">
        <v>0.03</v>
      </c>
    </row>
    <row r="22" spans="1:4" x14ac:dyDescent="0.2">
      <c r="A22" s="16" t="s">
        <v>24</v>
      </c>
      <c r="B22" s="19">
        <f>B19+B20+B21</f>
        <v>0.19999999999999998</v>
      </c>
    </row>
    <row r="24" spans="1:4" x14ac:dyDescent="0.2">
      <c r="A24" s="4" t="s">
        <v>25</v>
      </c>
      <c r="B24" s="5"/>
      <c r="C24" s="5"/>
      <c r="D24" s="5"/>
    </row>
    <row r="25" spans="1:4" x14ac:dyDescent="0.2">
      <c r="A25" s="2" t="s">
        <v>26</v>
      </c>
    </row>
    <row r="26" spans="1:4" x14ac:dyDescent="0.2">
      <c r="A26" s="2" t="s">
        <v>27</v>
      </c>
    </row>
    <row r="27" spans="1:4" x14ac:dyDescent="0.2">
      <c r="A27" s="2" t="s">
        <v>28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AB3E-2062-DC45-B20A-7A6FE84B2C3E}">
  <dimension ref="A1:G39"/>
  <sheetViews>
    <sheetView workbookViewId="0">
      <selection activeCell="E29" sqref="E29"/>
    </sheetView>
  </sheetViews>
  <sheetFormatPr baseColWidth="10" defaultRowHeight="16" outlineLevelRow="2" x14ac:dyDescent="0.2"/>
  <cols>
    <col min="1" max="1" width="36.6640625" customWidth="1"/>
    <col min="2" max="7" width="20" customWidth="1"/>
  </cols>
  <sheetData>
    <row r="1" spans="1:7" ht="19" x14ac:dyDescent="0.25">
      <c r="A1" s="1" t="s">
        <v>29</v>
      </c>
    </row>
    <row r="2" spans="1:7" x14ac:dyDescent="0.2">
      <c r="A2" s="3" t="s">
        <v>30</v>
      </c>
    </row>
    <row r="4" spans="1:7" x14ac:dyDescent="0.2">
      <c r="A4" s="4" t="s">
        <v>31</v>
      </c>
      <c r="B4" s="5"/>
      <c r="C4" s="5"/>
      <c r="D4" s="5"/>
      <c r="E4" s="5"/>
      <c r="F4" s="5"/>
      <c r="G4" s="5"/>
    </row>
    <row r="5" spans="1:7" x14ac:dyDescent="0.2">
      <c r="A5" s="8" t="s">
        <v>7</v>
      </c>
      <c r="B5" s="9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9" t="s">
        <v>19</v>
      </c>
    </row>
    <row r="6" spans="1:7" x14ac:dyDescent="0.2">
      <c r="A6" t="s">
        <v>37</v>
      </c>
      <c r="B6" s="11">
        <f>Supuestos!B11/12</f>
        <v>37500</v>
      </c>
      <c r="C6" s="11">
        <f>Supuestos!B12/12</f>
        <v>23333.333333333332</v>
      </c>
      <c r="D6" s="11">
        <f>Supuestos!B13/12</f>
        <v>15000</v>
      </c>
      <c r="E6" s="11">
        <f>Supuestos!B14/12</f>
        <v>10000</v>
      </c>
      <c r="F6" s="11">
        <f>Supuestos!B15/12</f>
        <v>7916.666666666667</v>
      </c>
      <c r="G6" s="14">
        <f>SUM(B6:F6)</f>
        <v>93750</v>
      </c>
    </row>
    <row r="8" spans="1:7" x14ac:dyDescent="0.2">
      <c r="A8" s="4" t="s">
        <v>38</v>
      </c>
      <c r="B8" s="5"/>
      <c r="C8" s="5"/>
      <c r="D8" s="5"/>
      <c r="E8" s="5"/>
      <c r="F8" s="5"/>
      <c r="G8" s="5"/>
    </row>
    <row r="9" spans="1:7" x14ac:dyDescent="0.2">
      <c r="A9" t="s">
        <v>39</v>
      </c>
      <c r="B9" s="11">
        <f>Supuestos!E11/12</f>
        <v>23333.333333333332</v>
      </c>
      <c r="C9" s="11">
        <f>Supuestos!E12/12</f>
        <v>11666.666666666666</v>
      </c>
      <c r="D9" s="11">
        <f>Supuestos!E13/12</f>
        <v>8750</v>
      </c>
      <c r="E9" s="11">
        <f>Supuestos!E14/12</f>
        <v>5833.333333333333</v>
      </c>
      <c r="F9" s="11">
        <f>Supuestos!E15/12</f>
        <v>2916.6666666666665</v>
      </c>
      <c r="G9" s="14">
        <f>SUM(B9:F9)</f>
        <v>52500</v>
      </c>
    </row>
    <row r="10" spans="1:7" x14ac:dyDescent="0.2">
      <c r="A10" t="s">
        <v>40</v>
      </c>
      <c r="B10" s="11">
        <f>Supuestos!F11/12</f>
        <v>3750</v>
      </c>
      <c r="C10" s="11">
        <f>Supuestos!F12/12</f>
        <v>2500</v>
      </c>
      <c r="D10" s="11">
        <f>Supuestos!F13/12</f>
        <v>1250</v>
      </c>
      <c r="E10" s="11">
        <f>Supuestos!F14/12</f>
        <v>833.33333333333337</v>
      </c>
      <c r="F10" s="11">
        <f>Supuestos!F15/12</f>
        <v>666.66666666666663</v>
      </c>
      <c r="G10" s="14">
        <f>SUM(B10:F10)</f>
        <v>9000</v>
      </c>
    </row>
    <row r="11" spans="1:7" x14ac:dyDescent="0.2">
      <c r="A11" s="43" t="s">
        <v>65</v>
      </c>
      <c r="B11" s="44">
        <f>Supuestos!I11/12</f>
        <v>1866.6666666666667</v>
      </c>
      <c r="C11" s="44">
        <f>Supuestos!I12/12</f>
        <v>1750</v>
      </c>
      <c r="D11" s="44">
        <f>Supuestos!I13/12</f>
        <v>262.5</v>
      </c>
      <c r="E11" s="44">
        <f>Supuestos!I14/12</f>
        <v>291.66666666666669</v>
      </c>
      <c r="F11" s="44">
        <f>Supuestos!I15/12</f>
        <v>58.333333333333336</v>
      </c>
      <c r="G11" s="45">
        <f>SUM(B11:F11)</f>
        <v>4229.166666666667</v>
      </c>
    </row>
    <row r="12" spans="1:7" ht="17" thickBot="1" x14ac:dyDescent="0.25">
      <c r="A12" s="30" t="s">
        <v>41</v>
      </c>
      <c r="B12" s="31">
        <f>B9+B10+B11</f>
        <v>28950</v>
      </c>
      <c r="C12" s="31">
        <f>C9+C10+C11</f>
        <v>15916.666666666666</v>
      </c>
      <c r="D12" s="31">
        <f>D9+D10+D11</f>
        <v>10262.5</v>
      </c>
      <c r="E12" s="31">
        <f>E9+E10+E11</f>
        <v>6958.333333333333</v>
      </c>
      <c r="F12" s="31">
        <f>F9+F10+F11</f>
        <v>3641.6666666666665</v>
      </c>
      <c r="G12" s="31">
        <f>SUM(B12:F12)</f>
        <v>65729.166666666672</v>
      </c>
    </row>
    <row r="14" spans="1:7" x14ac:dyDescent="0.2">
      <c r="A14" s="20" t="s">
        <v>42</v>
      </c>
      <c r="B14" s="21"/>
      <c r="C14" s="21"/>
      <c r="D14" s="21"/>
      <c r="E14" s="21"/>
      <c r="F14" s="21"/>
      <c r="G14" s="21"/>
    </row>
    <row r="15" spans="1:7" x14ac:dyDescent="0.2">
      <c r="A15" s="32" t="s">
        <v>43</v>
      </c>
      <c r="B15" s="33">
        <f>B6-B12</f>
        <v>8550</v>
      </c>
      <c r="C15" s="33">
        <f>C6-C12</f>
        <v>7416.6666666666661</v>
      </c>
      <c r="D15" s="33">
        <f>D6-D12</f>
        <v>4737.5</v>
      </c>
      <c r="E15" s="33">
        <f>E6-E12</f>
        <v>3041.666666666667</v>
      </c>
      <c r="F15" s="33">
        <f>F6-F12</f>
        <v>4275</v>
      </c>
      <c r="G15" s="33">
        <f>SUM(B15:F15)</f>
        <v>28020.833333333332</v>
      </c>
    </row>
    <row r="16" spans="1:7" x14ac:dyDescent="0.2">
      <c r="A16" t="s">
        <v>44</v>
      </c>
      <c r="B16" s="17">
        <f>IF(B6=0,0,B15/B6)</f>
        <v>0.22800000000000001</v>
      </c>
      <c r="C16" s="17">
        <f>IF(C6=0,0,C15/C6)</f>
        <v>0.31785714285714284</v>
      </c>
      <c r="D16" s="17">
        <f>IF(D6=0,0,D15/D6)</f>
        <v>0.31583333333333335</v>
      </c>
      <c r="E16" s="17">
        <f>IF(E6=0,0,E15/E6)</f>
        <v>0.3041666666666667</v>
      </c>
      <c r="F16" s="17">
        <f>IF(F6=0,0,F15/F6)</f>
        <v>0.53999999999999992</v>
      </c>
      <c r="G16" s="18">
        <f>IF(G6=0,0,G15/G6)</f>
        <v>0.29888888888888887</v>
      </c>
    </row>
    <row r="18" spans="1:7" x14ac:dyDescent="0.2">
      <c r="A18" s="20" t="s">
        <v>45</v>
      </c>
      <c r="B18" s="21"/>
      <c r="C18" s="21"/>
      <c r="D18" s="21"/>
      <c r="E18" s="21"/>
      <c r="F18" s="21"/>
      <c r="G18" s="21"/>
    </row>
    <row r="19" spans="1:7" x14ac:dyDescent="0.2">
      <c r="A19" t="s">
        <v>46</v>
      </c>
      <c r="B19" s="11">
        <f>B6*Supuestos!$B$19</f>
        <v>4500</v>
      </c>
      <c r="C19" s="11">
        <f>C6*Supuestos!$B$19</f>
        <v>2799.9999999999995</v>
      </c>
      <c r="D19" s="11">
        <f>D6*Supuestos!$B$19</f>
        <v>1800</v>
      </c>
      <c r="E19" s="11">
        <f>E6*Supuestos!$B$19</f>
        <v>1200</v>
      </c>
      <c r="F19" s="11">
        <f>F6*Supuestos!$B$19</f>
        <v>950</v>
      </c>
      <c r="G19" s="14">
        <f>SUM(B19:F19)</f>
        <v>11250</v>
      </c>
    </row>
    <row r="20" spans="1:7" x14ac:dyDescent="0.2">
      <c r="A20" t="s">
        <v>47</v>
      </c>
      <c r="B20" s="11">
        <f>B6*Supuestos!$B$20</f>
        <v>1875</v>
      </c>
      <c r="C20" s="11">
        <f>C6*Supuestos!$B$20</f>
        <v>1166.6666666666667</v>
      </c>
      <c r="D20" s="11">
        <f>D6*Supuestos!$B$20</f>
        <v>750</v>
      </c>
      <c r="E20" s="11">
        <f>E6*Supuestos!$B$20</f>
        <v>500</v>
      </c>
      <c r="F20" s="11">
        <f>F6*Supuestos!$B$20</f>
        <v>395.83333333333337</v>
      </c>
      <c r="G20" s="14">
        <f>SUM(B20:F20)</f>
        <v>4687.5</v>
      </c>
    </row>
    <row r="21" spans="1:7" x14ac:dyDescent="0.2">
      <c r="A21" t="s">
        <v>48</v>
      </c>
      <c r="B21" s="11">
        <f>B6*Supuestos!$B$21</f>
        <v>1125</v>
      </c>
      <c r="C21" s="11">
        <f>C6*Supuestos!$B$21</f>
        <v>699.99999999999989</v>
      </c>
      <c r="D21" s="11">
        <f>D6*Supuestos!$B$21</f>
        <v>450</v>
      </c>
      <c r="E21" s="11">
        <f>E6*Supuestos!$B$21</f>
        <v>300</v>
      </c>
      <c r="F21" s="11">
        <f>F6*Supuestos!$B$21</f>
        <v>237.5</v>
      </c>
      <c r="G21" s="14">
        <f>SUM(B21:F21)</f>
        <v>2812.5</v>
      </c>
    </row>
    <row r="22" spans="1:7" ht="17" thickBot="1" x14ac:dyDescent="0.25">
      <c r="A22" s="30" t="s">
        <v>49</v>
      </c>
      <c r="B22" s="31">
        <f>B19+B20+B21</f>
        <v>7500</v>
      </c>
      <c r="C22" s="31">
        <f>C19+C20+C21</f>
        <v>4666.6666666666661</v>
      </c>
      <c r="D22" s="31">
        <f>D19+D20+D21</f>
        <v>3000</v>
      </c>
      <c r="E22" s="31">
        <f>E19+E20+E21</f>
        <v>2000</v>
      </c>
      <c r="F22" s="31">
        <f>F19+F20+F21</f>
        <v>1583.3333333333335</v>
      </c>
      <c r="G22" s="31">
        <f>SUM(B22:F22)</f>
        <v>18749.999999999996</v>
      </c>
    </row>
    <row r="24" spans="1:7" ht="17" thickBot="1" x14ac:dyDescent="0.25">
      <c r="A24" s="22" t="s">
        <v>50</v>
      </c>
      <c r="B24" s="23"/>
      <c r="C24" s="23"/>
      <c r="D24" s="23"/>
      <c r="E24" s="23"/>
      <c r="F24" s="23"/>
      <c r="G24" s="23"/>
    </row>
    <row r="25" spans="1:7" ht="17" thickTop="1" x14ac:dyDescent="0.2">
      <c r="A25" s="34" t="s">
        <v>51</v>
      </c>
      <c r="B25" s="35">
        <f>B15-B22</f>
        <v>1050</v>
      </c>
      <c r="C25" s="35">
        <f>C15-C22</f>
        <v>2750</v>
      </c>
      <c r="D25" s="35">
        <f>D15-D22</f>
        <v>1737.5</v>
      </c>
      <c r="E25" s="35">
        <f>E15-E22</f>
        <v>1041.666666666667</v>
      </c>
      <c r="F25" s="35">
        <f>F15-F22</f>
        <v>2691.6666666666665</v>
      </c>
      <c r="G25" s="35">
        <f>SUM(B25:F25)</f>
        <v>9270.8333333333339</v>
      </c>
    </row>
    <row r="26" spans="1:7" x14ac:dyDescent="0.2">
      <c r="A26" s="36" t="s">
        <v>52</v>
      </c>
      <c r="B26" s="37">
        <f>IF(B6=0,0,B25/B6)</f>
        <v>2.8000000000000001E-2</v>
      </c>
      <c r="C26" s="37">
        <f>IF(C6=0,0,C25/C6)</f>
        <v>0.11785714285714287</v>
      </c>
      <c r="D26" s="37">
        <f>IF(D6=0,0,D25/D6)</f>
        <v>0.11583333333333333</v>
      </c>
      <c r="E26" s="37">
        <f>IF(E6=0,0,E25/E6)</f>
        <v>0.1041666666666667</v>
      </c>
      <c r="F26" s="37">
        <f>IF(F6=0,0,F25/F6)</f>
        <v>0.33999999999999997</v>
      </c>
      <c r="G26" s="38">
        <f>IF(G6=0,0,G25/G6)</f>
        <v>9.8888888888888901E-2</v>
      </c>
    </row>
    <row r="28" spans="1:7" x14ac:dyDescent="0.2">
      <c r="A28" s="24" t="s">
        <v>53</v>
      </c>
      <c r="B28" s="25"/>
      <c r="C28" s="25"/>
      <c r="D28" s="25"/>
      <c r="E28" s="25"/>
    </row>
    <row r="29" spans="1:7" x14ac:dyDescent="0.2">
      <c r="A29" s="26" t="s">
        <v>54</v>
      </c>
      <c r="B29" s="27" t="s">
        <v>55</v>
      </c>
      <c r="C29" s="27" t="s">
        <v>56</v>
      </c>
      <c r="D29" s="27" t="s">
        <v>57</v>
      </c>
      <c r="E29" s="27" t="s">
        <v>58</v>
      </c>
    </row>
    <row r="30" spans="1:7" x14ac:dyDescent="0.2">
      <c r="A30" t="s">
        <v>59</v>
      </c>
      <c r="B30" s="11">
        <f>G6</f>
        <v>93750</v>
      </c>
      <c r="C30" s="11">
        <f>Supuestos!B16/12</f>
        <v>93750</v>
      </c>
      <c r="D30" s="28">
        <f>B30-C30</f>
        <v>0</v>
      </c>
      <c r="E30" t="str">
        <f>IF(ABS(D30)&lt;0.01,"✅ OK","❌ ERROR")</f>
        <v>✅ OK</v>
      </c>
    </row>
    <row r="31" spans="1:7" x14ac:dyDescent="0.2">
      <c r="A31" t="s">
        <v>66</v>
      </c>
      <c r="B31" s="11">
        <f>G12</f>
        <v>65729.166666666672</v>
      </c>
      <c r="C31" s="11">
        <f>(Supuestos!G16+Supuestos!I16)/12</f>
        <v>65729.166666666672</v>
      </c>
      <c r="D31" s="28">
        <f>B31-C31</f>
        <v>0</v>
      </c>
      <c r="E31" t="str">
        <f>IF(ABS(D31)&lt;0.01,"✅ OK","❌ ERROR")</f>
        <v>✅ OK</v>
      </c>
    </row>
    <row r="32" spans="1:7" x14ac:dyDescent="0.2">
      <c r="A32" t="s">
        <v>60</v>
      </c>
      <c r="B32" s="11">
        <f>G25</f>
        <v>9270.8333333333339</v>
      </c>
      <c r="C32" s="11">
        <f>G6-G12-G22</f>
        <v>9270.8333333333321</v>
      </c>
      <c r="D32" s="28">
        <f>B32-C32</f>
        <v>0</v>
      </c>
      <c r="E32" t="str">
        <f>IF(ABS(D32)&lt;0.01,"✅ OK","❌ ERROR")</f>
        <v>✅ OK</v>
      </c>
    </row>
    <row r="33" spans="1:6" x14ac:dyDescent="0.2">
      <c r="A33" t="s">
        <v>61</v>
      </c>
      <c r="B33" s="17">
        <f>IF(G6=0,0,G22/G6)</f>
        <v>0.19999999999999996</v>
      </c>
      <c r="C33" s="17">
        <f>Supuestos!B22</f>
        <v>0.19999999999999998</v>
      </c>
      <c r="D33" s="29">
        <f>B33-C33</f>
        <v>0</v>
      </c>
      <c r="E33" t="str">
        <f>IF(ABS(D33)&lt;0.0001,"✅ OK","❌ ERROR")</f>
        <v>✅ OK</v>
      </c>
    </row>
    <row r="35" spans="1:6" hidden="1" outlineLevel="2" x14ac:dyDescent="0.2">
      <c r="B35" t="s">
        <v>32</v>
      </c>
      <c r="C35" t="s">
        <v>33</v>
      </c>
      <c r="D35" t="s">
        <v>34</v>
      </c>
      <c r="E35" t="s">
        <v>35</v>
      </c>
      <c r="F35" t="s">
        <v>36</v>
      </c>
    </row>
    <row r="36" spans="1:6" hidden="1" outlineLevel="2" x14ac:dyDescent="0.2">
      <c r="A36" t="s">
        <v>62</v>
      </c>
      <c r="B36" s="17">
        <f>B16</f>
        <v>0.22800000000000001</v>
      </c>
      <c r="C36" s="17">
        <f>C16</f>
        <v>0.31785714285714284</v>
      </c>
      <c r="D36" s="17">
        <f>D16</f>
        <v>0.31583333333333335</v>
      </c>
      <c r="E36" s="17">
        <f>E16</f>
        <v>0.3041666666666667</v>
      </c>
      <c r="F36" s="17">
        <f>F16</f>
        <v>0.53999999999999992</v>
      </c>
    </row>
    <row r="37" spans="1:6" hidden="1" outlineLevel="2" x14ac:dyDescent="0.2">
      <c r="A37" t="s">
        <v>67</v>
      </c>
      <c r="B37" s="17">
        <f>IF(B6=0,0,(B6-(B9+B10)-B22)/B6)</f>
        <v>7.7777777777777807E-2</v>
      </c>
      <c r="C37" s="17">
        <f>IF(C6=0,0,(C6-(C9+C10)-C22)/C6)</f>
        <v>0.19285714285714287</v>
      </c>
      <c r="D37" s="17">
        <f>IF(D6=0,0,(D6-(D9+D10)-D22)/D6)</f>
        <v>0.13333333333333333</v>
      </c>
      <c r="E37" s="17">
        <f>IF(E6=0,0,(E6-(E9+E10)-E22)/E6)</f>
        <v>0.13333333333333339</v>
      </c>
      <c r="F37" s="17">
        <f>IF(F6=0,0,(F6-(F9+F10)-F22)/F6)</f>
        <v>0.3473684210526316</v>
      </c>
    </row>
    <row r="38" spans="1:6" hidden="1" outlineLevel="1" x14ac:dyDescent="0.2">
      <c r="A38" t="s">
        <v>68</v>
      </c>
      <c r="B38" s="17">
        <f>B26</f>
        <v>2.8000000000000001E-2</v>
      </c>
      <c r="C38" s="17">
        <f>C26</f>
        <v>0.11785714285714287</v>
      </c>
      <c r="D38" s="17">
        <f>D26</f>
        <v>0.11583333333333333</v>
      </c>
      <c r="E38" s="17">
        <f>E26</f>
        <v>0.1041666666666667</v>
      </c>
      <c r="F38" s="17">
        <f>F26</f>
        <v>0.33999999999999997</v>
      </c>
    </row>
    <row r="39" spans="1:6" collapsed="1" x14ac:dyDescent="0.2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Supuestos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Sevilla Guerra</dc:creator>
  <cp:lastModifiedBy>Daniel Sevilla Guerra</cp:lastModifiedBy>
  <dcterms:created xsi:type="dcterms:W3CDTF">2026-04-16T18:29:19Z</dcterms:created>
  <dcterms:modified xsi:type="dcterms:W3CDTF">2026-04-16T18:52:42Z</dcterms:modified>
</cp:coreProperties>
</file>